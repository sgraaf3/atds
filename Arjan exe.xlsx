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June 17, 2025"/>
  </sheets>
  <calcPr fullCalcOnLoad="1"/>
</workbook>
</file>

<file path=xl/sharedStrings.xml><?xml version="1.0" encoding="utf-8"?>
<sst xmlns="http://schemas.openxmlformats.org/spreadsheetml/2006/main" count="151" uniqueCount="105">
  <si>
    <t xml:space="preserve"> </t>
  </si>
  <si>
    <t>Inspanningstest</t>
  </si>
  <si>
    <t>naam:</t>
  </si>
  <si>
    <t/>
  </si>
  <si>
    <t>leeftijd:</t>
  </si>
  <si>
    <t>rustpols:</t>
  </si>
  <si>
    <t>vet % vrouw</t>
  </si>
  <si>
    <t>lengte:</t>
  </si>
  <si>
    <t>SaO2:</t>
  </si>
  <si>
    <t>vet % man</t>
  </si>
  <si>
    <t>gewicht:</t>
  </si>
  <si>
    <t>score</t>
  </si>
  <si>
    <t>vrouw</t>
  </si>
  <si>
    <t>man</t>
  </si>
  <si>
    <t>maximale hartslag:</t>
  </si>
  <si>
    <t>slagen/min</t>
  </si>
  <si>
    <t>norm</t>
  </si>
  <si>
    <t>maximale belasting:</t>
  </si>
  <si>
    <t>Watt</t>
  </si>
  <si>
    <t>maximale zuurstofopname:</t>
  </si>
  <si>
    <t>Liter</t>
  </si>
  <si>
    <t>zuurstofopname per kg:</t>
  </si>
  <si>
    <t>ml/kg</t>
  </si>
  <si>
    <t>Het omslagpunt ligt op hartslag:</t>
  </si>
  <si>
    <t>en een belasting van:</t>
  </si>
  <si>
    <t>Conclusie:</t>
  </si>
  <si>
    <t>Advies:</t>
  </si>
  <si>
    <t>Betekenis van de</t>
  </si>
  <si>
    <t>100% vetverbranding, nauwelijks effect op de conditie.</t>
  </si>
  <si>
    <t>kleuren en de</t>
  </si>
  <si>
    <t>75% vet en 25% suikerverbranding licht trainingseffect.</t>
  </si>
  <si>
    <t>hartslagen</t>
  </si>
  <si>
    <t>50% vet en 50% suikerverbranding, relatief beste effect.</t>
  </si>
  <si>
    <t>25% vet en 75% suikerverbranding, goede conditietraining.</t>
  </si>
  <si>
    <t>lichte verzuring, vaak te hoog voor conditietraining.</t>
  </si>
  <si>
    <t>Stevige verzuring voor conditie veel te hoog.</t>
  </si>
  <si>
    <t>Niveau per</t>
  </si>
  <si>
    <t>activiteit:</t>
  </si>
  <si>
    <t>Fietsen</t>
  </si>
  <si>
    <t>Roeien</t>
  </si>
  <si>
    <t>Joggen</t>
  </si>
  <si>
    <t>Schaatsen</t>
  </si>
  <si>
    <t>Steppen</t>
  </si>
  <si>
    <t>Wandelen</t>
  </si>
  <si>
    <t>warming-up</t>
  </si>
  <si>
    <t>duur 1:</t>
  </si>
  <si>
    <t>op</t>
  </si>
  <si>
    <t>duur 2:</t>
  </si>
  <si>
    <t>duur 3:</t>
  </si>
  <si>
    <t>snelheid</t>
  </si>
  <si>
    <t>kracht</t>
  </si>
  <si>
    <t>cooling-down</t>
  </si>
  <si>
    <t>De zuurstofopname per kg zegt iets over uw huidige nivo:</t>
  </si>
  <si>
    <t>uw score:</t>
  </si>
  <si>
    <t xml:space="preserve">minder dan 40 ml/kg </t>
  </si>
  <si>
    <t>recreant</t>
  </si>
  <si>
    <t>40-50 ml/kg</t>
  </si>
  <si>
    <t>sportief</t>
  </si>
  <si>
    <t>50-60 ml/kg</t>
  </si>
  <si>
    <t>actiefsporter</t>
  </si>
  <si>
    <t>60-70 ml/kg</t>
  </si>
  <si>
    <t>sub top</t>
  </si>
  <si>
    <t>70-80 ml/kg</t>
  </si>
  <si>
    <t>top</t>
  </si>
  <si>
    <t>80 ml/kg of hoger</t>
  </si>
  <si>
    <t>wereld top</t>
  </si>
  <si>
    <t>Uw persoonlijke verbrandingsnivo's</t>
  </si>
  <si>
    <t>vet</t>
  </si>
  <si>
    <t>glucose</t>
  </si>
  <si>
    <t>verzuring</t>
  </si>
  <si>
    <t xml:space="preserve">tussen </t>
  </si>
  <si>
    <t>en</t>
  </si>
  <si>
    <t>verbeter je voornamelijk je conditie.</t>
  </si>
  <si>
    <t>verbeter je voornamelijk je snelheid.</t>
  </si>
  <si>
    <t>herstel en cooling-down.</t>
  </si>
  <si>
    <t xml:space="preserve">      duur 2</t>
  </si>
  <si>
    <t xml:space="preserve">        duur 3</t>
  </si>
  <si>
    <t xml:space="preserve">    cooling-down</t>
  </si>
  <si>
    <t>week 1</t>
  </si>
  <si>
    <t>min</t>
  </si>
  <si>
    <t>week 2</t>
  </si>
  <si>
    <t>week 3</t>
  </si>
  <si>
    <t>week 4</t>
  </si>
  <si>
    <t>week 5</t>
  </si>
  <si>
    <t>week 6</t>
  </si>
  <si>
    <t>Het is belangrijk dat u uw training geleidelijk over de week verdeelt. Na een zware training</t>
  </si>
  <si>
    <t>heeft het lichaam 48 uur rust nodig.</t>
  </si>
  <si>
    <t>ma</t>
  </si>
  <si>
    <t>di</t>
  </si>
  <si>
    <t>wo</t>
  </si>
  <si>
    <t>do</t>
  </si>
  <si>
    <t>vr</t>
  </si>
  <si>
    <t>za</t>
  </si>
  <si>
    <t>zo</t>
  </si>
  <si>
    <t>x</t>
  </si>
  <si>
    <t>Uitleg:</t>
  </si>
  <si>
    <t>U gaat als volgt te werk op de fiets</t>
  </si>
  <si>
    <t>minimum</t>
  </si>
  <si>
    <t>maximum</t>
  </si>
  <si>
    <t>6 min. warming-up hartslag:</t>
  </si>
  <si>
    <t>dan 20 min. de hartslag:</t>
  </si>
  <si>
    <t>tussen</t>
  </si>
  <si>
    <t>Probeer nog  6 min. op nivo 3:</t>
  </si>
  <si>
    <t>Dan de cooling-down ongeveer:</t>
  </si>
  <si>
    <t>Omgerekend voor het lopen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</si>
</sst>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-mm-yy h:mm"/>
  </numFmts>
  <fonts count="11" x14ac:knownFonts="1">
    <font>
      <sz val="11"/>
      <color theme="1"/>
      <name val="Calibri"/>
      <family val="2"/>
      <scheme val="minor"/>
    </font>
    <font>
      <b/>
      <i/>
      <sz val="8"/>
      <color rgb="FF0000ff"/>
      <name val="Arial"/>
      <family val="2"/>
    </font>
    <font>
      <b/>
      <i/>
      <sz val="16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i/>
      <sz val="10"/>
      <color theme="1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b/>
      <i/>
      <sz val="12"/>
      <color theme="1"/>
      <name val="Arial"/>
      <family val="2"/>
    </font>
    <font>
      <sz val="10"/>
      <color rgb="FF0000ff"/>
      <name val="Arial"/>
      <family val="2"/>
    </font>
    <font>
      <sz val="10"/>
      <color rgb="FF00f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ccffcc"/>
      </patternFill>
    </fill>
    <fill>
      <patternFill patternType="solid">
        <fgColor rgb="FFccccff"/>
      </patternFill>
    </fill>
    <fill>
      <patternFill patternType="solid">
        <fgColor rgb="FFff99cc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8">
    <xf xfId="0" numFmtId="0" borderId="0" fontId="0" fillId="0"/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1" applyNumberFormat="1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3" applyNumberFormat="1" borderId="2" applyBorder="1" fontId="4" applyFont="1" fillId="0" quotePrefix="1" applyAlignment="1">
      <alignment horizontal="left"/>
    </xf>
    <xf xfId="0" numFmtId="3" applyNumberFormat="1" borderId="3" applyBorder="1" fontId="4" applyFont="1" fillId="0" applyAlignment="1">
      <alignment horizontal="left"/>
    </xf>
    <xf xfId="0" numFmtId="3" applyNumberFormat="1" borderId="4" applyBorder="1" fontId="4" applyFont="1" fillId="0" applyAlignment="1">
      <alignment horizontal="left"/>
    </xf>
    <xf xfId="0" numFmtId="3" applyNumberFormat="1" borderId="5" applyBorder="1" fontId="4" applyFont="1" fillId="0" applyAlignment="1">
      <alignment horizontal="left"/>
    </xf>
    <xf xfId="0" numFmtId="1" applyNumberFormat="1" borderId="1" applyBorder="1" fontId="3" applyFont="1" fillId="0" applyAlignment="1">
      <alignment horizontal="right"/>
    </xf>
    <xf xfId="0" numFmtId="3" applyNumberFormat="1" borderId="6" applyBorder="1" fontId="4" applyFont="1" fillId="0" applyAlignment="1">
      <alignment horizontal="right"/>
    </xf>
    <xf xfId="0" numFmtId="1" applyNumberFormat="1" borderId="1" applyBorder="1" fontId="3" applyFont="1" fillId="0" applyAlignment="1">
      <alignment horizontal="left"/>
    </xf>
    <xf xfId="0" numFmtId="3" applyNumberFormat="1" borderId="6" applyBorder="1" fontId="4" applyFont="1" fillId="0" applyAlignment="1">
      <alignment horizontal="left"/>
    </xf>
    <xf xfId="0" numFmtId="1" applyNumberFormat="1" borderId="1" applyBorder="1" fontId="4" applyFont="1" fillId="0" applyAlignment="1">
      <alignment horizontal="right"/>
    </xf>
    <xf xfId="0" numFmtId="164" applyNumberFormat="1" borderId="1" applyBorder="1" fontId="4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1" applyNumberFormat="1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6" applyBorder="1" fontId="5" applyFont="1" fillId="0" applyAlignment="1">
      <alignment horizontal="right"/>
    </xf>
    <xf xfId="0" numFmtId="3" applyNumberFormat="1" borderId="1" applyBorder="1" fontId="5" applyFont="1" fillId="0" applyAlignment="1">
      <alignment horizontal="left"/>
    </xf>
    <xf xfId="0" numFmtId="3" applyNumberFormat="1" borderId="7" applyBorder="1" fontId="4" applyFont="1" fillId="0" applyAlignment="1">
      <alignment horizontal="left"/>
    </xf>
    <xf xfId="0" numFmtId="3" applyNumberFormat="1" borderId="8" applyBorder="1" fontId="4" applyFont="1" fillId="0" applyAlignment="1">
      <alignment horizontal="left"/>
    </xf>
    <xf xfId="0" numFmtId="1" applyNumberFormat="1" borderId="8" applyBorder="1" fontId="4" applyFont="1" fillId="0" applyAlignment="1">
      <alignment horizontal="left"/>
    </xf>
    <xf xfId="0" numFmtId="1" applyNumberFormat="1" borderId="9" applyBorder="1" fontId="4" applyFont="1" fillId="0" applyAlignment="1">
      <alignment horizontal="left"/>
    </xf>
    <xf xfId="0" numFmtId="3" applyNumberFormat="1" borderId="10" applyBorder="1" fontId="4" applyFont="1" fillId="0" applyAlignment="1">
      <alignment horizontal="left"/>
    </xf>
    <xf xfId="0" numFmtId="1" applyNumberFormat="1" borderId="11" applyBorder="1" fontId="4" applyFont="1" fillId="0" applyAlignment="1">
      <alignment horizontal="left"/>
    </xf>
    <xf xfId="0" numFmtId="3" applyNumberFormat="1" borderId="12" applyBorder="1" fontId="4" applyFont="1" fillId="0" applyAlignment="1">
      <alignment horizontal="left"/>
    </xf>
    <xf xfId="0" numFmtId="3" applyNumberFormat="1" borderId="13" applyBorder="1" fontId="4" applyFont="1" fillId="0" applyAlignment="1">
      <alignment horizontal="left"/>
    </xf>
    <xf xfId="0" numFmtId="1" applyNumberFormat="1" borderId="13" applyBorder="1" fontId="4" applyFont="1" fillId="0" applyAlignment="1">
      <alignment horizontal="left"/>
    </xf>
    <xf xfId="0" numFmtId="1" applyNumberFormat="1" borderId="14" applyBorder="1" fontId="4" applyFont="1" fillId="0" applyAlignment="1">
      <alignment horizontal="left"/>
    </xf>
    <xf xfId="0" numFmtId="1" applyNumberFormat="1" borderId="6" applyBorder="1" fontId="4" applyFont="1" fillId="0" applyAlignment="1">
      <alignment horizontal="right"/>
    </xf>
    <xf xfId="0" numFmtId="3" applyNumberFormat="1" borderId="1" applyBorder="1" fontId="3" applyFont="1" fillId="0" applyAlignment="1">
      <alignment horizontal="left"/>
    </xf>
    <xf xfId="0" numFmtId="1" applyNumberFormat="1" borderId="6" applyBorder="1" fontId="4" applyFont="1" fillId="2" applyFill="1" applyAlignment="1">
      <alignment horizontal="right"/>
    </xf>
    <xf xfId="0" numFmtId="1" applyNumberFormat="1" borderId="6" applyBorder="1" fontId="4" applyFont="1" fillId="3" applyFill="1" applyAlignment="1">
      <alignment horizontal="right"/>
    </xf>
    <xf xfId="0" numFmtId="1" applyNumberFormat="1" borderId="6" applyBorder="1" fontId="4" applyFont="1" fillId="4" applyFill="1" applyAlignment="1">
      <alignment horizontal="right"/>
    </xf>
    <xf xfId="0" numFmtId="1" applyNumberFormat="1" borderId="6" applyBorder="1" fontId="4" applyFont="1" fillId="5" applyFill="1" applyAlignment="1">
      <alignment horizontal="right"/>
    </xf>
    <xf xfId="0" numFmtId="1" applyNumberFormat="1" borderId="6" applyBorder="1" fontId="6" applyFont="1" fillId="0" applyAlignment="1">
      <alignment horizontal="right"/>
    </xf>
    <xf xfId="0" numFmtId="3" applyNumberFormat="1" borderId="1" applyBorder="1" fontId="5" applyFont="1" fillId="0" applyAlignment="1">
      <alignment horizontal="center"/>
    </xf>
    <xf xfId="0" numFmtId="1" applyNumberFormat="1" borderId="1" applyBorder="1" fontId="5" applyFont="1" fillId="0" applyAlignment="1">
      <alignment horizontal="center"/>
    </xf>
    <xf xfId="0" numFmtId="3" applyNumberFormat="1" borderId="1" applyBorder="1" fontId="7" applyFont="1" fillId="0" applyAlignment="1">
      <alignment horizontal="left"/>
    </xf>
    <xf xfId="0" numFmtId="4" applyNumberFormat="1" borderId="1" applyBorder="1" fontId="5" applyFont="1" fillId="0" applyAlignment="1">
      <alignment horizontal="left"/>
    </xf>
    <xf xfId="0" numFmtId="3" applyNumberFormat="1" borderId="1" applyBorder="1" fontId="8" applyFont="1" fillId="0" applyAlignment="1">
      <alignment horizontal="center"/>
    </xf>
    <xf xfId="0" numFmtId="1" applyNumberFormat="1" borderId="1" applyBorder="1" fontId="8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3" applyNumberFormat="1" borderId="15" applyBorder="1" fontId="4" applyFont="1" fillId="2" applyFill="1" applyAlignment="1">
      <alignment horizontal="left"/>
    </xf>
    <xf xfId="0" numFmtId="3" applyNumberFormat="1" borderId="15" applyBorder="1" fontId="4" applyFont="1" fillId="3" applyFill="1" applyAlignment="1">
      <alignment horizontal="left"/>
    </xf>
    <xf xfId="0" numFmtId="1" applyNumberFormat="1" borderId="15" applyBorder="1" fontId="4" applyFont="1" fillId="4" applyFill="1" applyAlignment="1">
      <alignment horizontal="left"/>
    </xf>
    <xf xfId="0" numFmtId="1" applyNumberFormat="1" borderId="15" applyBorder="1" fontId="4" applyFont="1" fillId="5" applyFill="1" applyAlignment="1">
      <alignment horizontal="left"/>
    </xf>
    <xf xfId="0" numFmtId="3" applyNumberFormat="1" borderId="1" applyBorder="1" fontId="4" applyFont="1" fillId="0" applyAlignment="1">
      <alignment horizontal="center"/>
    </xf>
    <xf xfId="0" numFmtId="1" applyNumberFormat="1" borderId="1" applyBorder="1" fontId="4" applyFont="1" fillId="0" applyAlignment="1">
      <alignment horizontal="center"/>
    </xf>
    <xf xfId="0" numFmtId="3" applyNumberFormat="1" borderId="6" applyBorder="1" fontId="4" applyFont="1" fillId="0" applyAlignment="1">
      <alignment horizontal="center"/>
    </xf>
    <xf xfId="0" numFmtId="1" applyNumberFormat="1" borderId="6" applyBorder="1" fontId="4" applyFont="1" fillId="0" applyAlignment="1">
      <alignment horizontal="center"/>
    </xf>
    <xf xfId="0" numFmtId="1" applyNumberFormat="1" borderId="1" applyBorder="1" fontId="4" applyFont="1" fillId="0" applyAlignment="1">
      <alignment horizontal="left"/>
    </xf>
    <xf xfId="0" numFmtId="3" applyNumberFormat="1" borderId="1" applyBorder="1" fontId="9" applyFont="1" fillId="0" applyAlignment="1">
      <alignment horizontal="center"/>
    </xf>
    <xf xfId="0" numFmtId="1" applyNumberFormat="1" borderId="1" applyBorder="1" fontId="10" applyFont="1" fillId="0" applyAlignment="1">
      <alignment horizontal="center"/>
    </xf>
    <xf xfId="0" numFmtId="1" applyNumberFormat="1" borderId="1" applyBorder="1" fontId="6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6"/>
  <sheetViews>
    <sheetView workbookViewId="0" tabSelected="1"/>
  </sheetViews>
  <sheetFormatPr defaultRowHeight="15" x14ac:dyDescent="0.25"/>
  <cols>
    <col min="1" max="1" style="63" width="10.719285714285713" customWidth="1" bestFit="1"/>
    <col min="2" max="2" style="63" width="10.719285714285713" customWidth="1" bestFit="1"/>
    <col min="3" max="3" style="63" width="10.719285714285713" customWidth="1" bestFit="1"/>
    <col min="4" max="4" style="64" width="10.719285714285713" customWidth="1" bestFit="1"/>
    <col min="5" max="5" style="65" width="10.719285714285713" customWidth="1" bestFit="1"/>
    <col min="6" max="6" style="66" width="10.719285714285713" customWidth="1" bestFit="1"/>
    <col min="7" max="7" style="66" width="10.719285714285713" customWidth="1" bestFit="1"/>
    <col min="8" max="8" style="66" width="10.719285714285713" customWidth="1" bestFit="1"/>
    <col min="9" max="9" style="67" width="10.719285714285713" customWidth="1" bestFit="1"/>
  </cols>
  <sheetData>
    <row x14ac:dyDescent="0.25" r="1" customHeight="1" ht="18.75">
      <c r="A1" s="1"/>
      <c r="B1" s="1"/>
      <c r="C1" s="1"/>
      <c r="D1" s="2"/>
      <c r="E1" s="3"/>
      <c r="F1" s="4"/>
      <c r="G1" s="4"/>
      <c r="H1" s="4"/>
      <c r="I1" s="5"/>
    </row>
    <row x14ac:dyDescent="0.25" r="2" customHeight="1" ht="18.75">
      <c r="A2" s="1"/>
      <c r="B2" s="1"/>
      <c r="C2" s="1"/>
      <c r="D2" s="2"/>
      <c r="E2" s="3"/>
      <c r="F2" s="4"/>
      <c r="G2" s="6"/>
      <c r="H2" s="6"/>
      <c r="I2" s="7"/>
    </row>
    <row x14ac:dyDescent="0.25" r="3" customHeight="1" ht="18.75">
      <c r="A3" s="1"/>
      <c r="B3" s="1"/>
      <c r="C3" s="1"/>
      <c r="D3" s="2"/>
      <c r="E3" s="3"/>
      <c r="F3" s="4"/>
      <c r="G3" s="6"/>
      <c r="H3" s="6"/>
      <c r="I3" s="7"/>
    </row>
    <row x14ac:dyDescent="0.25" r="4" customHeight="1" ht="18.75">
      <c r="A4" s="1"/>
      <c r="B4" s="1"/>
      <c r="C4" s="1"/>
      <c r="D4" s="2"/>
      <c r="E4" s="3"/>
      <c r="F4" s="4"/>
      <c r="G4" s="6"/>
      <c r="H4" s="6"/>
      <c r="I4" s="7"/>
    </row>
    <row x14ac:dyDescent="0.25" r="5" customHeight="1" ht="18.75">
      <c r="A5" s="1"/>
      <c r="B5" s="1"/>
      <c r="C5" s="1"/>
      <c r="D5" s="2"/>
      <c r="E5" s="3"/>
      <c r="F5" s="4"/>
      <c r="G5" s="6"/>
      <c r="H5" s="6"/>
      <c r="I5" s="7"/>
    </row>
    <row x14ac:dyDescent="0.25" r="6" customHeight="1" ht="18.75">
      <c r="A6" s="1"/>
      <c r="B6" s="1"/>
      <c r="C6" s="1"/>
      <c r="D6" s="2"/>
      <c r="E6" s="3"/>
      <c r="F6" s="4"/>
      <c r="G6" s="6"/>
      <c r="H6" s="6"/>
      <c r="I6" s="7"/>
    </row>
    <row x14ac:dyDescent="0.25" r="7" customHeight="1" ht="18.75">
      <c r="A7" s="1"/>
      <c r="B7" s="1"/>
      <c r="C7" s="1"/>
      <c r="D7" s="2"/>
      <c r="E7" s="3"/>
      <c r="F7" s="4"/>
      <c r="G7" s="6"/>
      <c r="H7" s="6"/>
      <c r="I7" s="7"/>
    </row>
    <row x14ac:dyDescent="0.25" r="8" customHeight="1" ht="24">
      <c r="A8" s="1"/>
      <c r="B8" s="1"/>
      <c r="C8" s="8" t="s">
        <v>0</v>
      </c>
      <c r="D8" s="2"/>
      <c r="E8" s="9" t="s">
        <v>1</v>
      </c>
      <c r="F8" s="4"/>
      <c r="G8" s="4"/>
      <c r="H8" s="4"/>
      <c r="I8" s="5"/>
    </row>
    <row x14ac:dyDescent="0.25" r="9" customHeight="1" ht="18.75">
      <c r="A9" s="1"/>
      <c r="B9" s="1"/>
      <c r="C9" s="1"/>
      <c r="D9" s="2"/>
      <c r="E9" s="3"/>
      <c r="F9" s="4"/>
      <c r="G9" s="4"/>
      <c r="H9" s="4"/>
      <c r="I9" s="5"/>
    </row>
    <row x14ac:dyDescent="0.25" r="10" customHeight="1" ht="19.5">
      <c r="A10" s="10" t="s">
        <v>2</v>
      </c>
      <c r="B10" s="11" t="s">
        <v>3</v>
      </c>
      <c r="C10" s="12"/>
      <c r="D10" s="13"/>
      <c r="E10" s="3"/>
      <c r="F10" s="4"/>
      <c r="G10" s="4"/>
      <c r="H10" s="4"/>
      <c r="I10" s="5"/>
    </row>
    <row x14ac:dyDescent="0.25" r="11" customHeight="1" ht="18.75">
      <c r="A11" s="10" t="s">
        <v>4</v>
      </c>
      <c r="B11" s="14"/>
      <c r="C11" s="1"/>
      <c r="D11" s="2"/>
      <c r="E11" s="15" t="s">
        <v>5</v>
      </c>
      <c r="F11" s="16">
        <v>75</v>
      </c>
      <c r="G11" s="15" t="s">
        <v>6</v>
      </c>
      <c r="H11" s="17" t="s">
        <v>0</v>
      </c>
      <c r="I11" s="5"/>
    </row>
    <row x14ac:dyDescent="0.25" r="12" customHeight="1" ht="19.5">
      <c r="A12" s="10" t="s">
        <v>7</v>
      </c>
      <c r="B12" s="18"/>
      <c r="C12" s="1"/>
      <c r="D12" s="2"/>
      <c r="E12" s="15" t="s">
        <v>8</v>
      </c>
      <c r="F12" s="16">
        <v>98</v>
      </c>
      <c r="G12" s="15" t="s">
        <v>9</v>
      </c>
      <c r="H12" s="10">
        <v>20</v>
      </c>
      <c r="I12" s="5"/>
    </row>
    <row x14ac:dyDescent="0.25" r="13" customHeight="1" ht="19.5">
      <c r="A13" s="10" t="s">
        <v>10</v>
      </c>
      <c r="B13" s="18"/>
      <c r="C13" s="1"/>
      <c r="D13" s="2"/>
      <c r="E13" s="3"/>
      <c r="F13" s="19"/>
      <c r="G13" s="19"/>
      <c r="H13" s="4"/>
      <c r="I13" s="5"/>
    </row>
    <row x14ac:dyDescent="0.25" r="14" customHeight="1" ht="18.75">
      <c r="A14" s="10"/>
      <c r="B14" s="20"/>
      <c r="C14" s="20"/>
      <c r="D14" s="2"/>
      <c r="E14" s="15"/>
      <c r="F14" s="19"/>
      <c r="G14" s="19"/>
      <c r="H14" s="4"/>
      <c r="I14" s="5"/>
    </row>
    <row x14ac:dyDescent="0.25" r="15" customHeight="1" ht="18.75">
      <c r="A15" s="1"/>
      <c r="B15" s="1"/>
      <c r="C15" s="1"/>
      <c r="D15" s="21" t="s">
        <v>11</v>
      </c>
      <c r="E15" s="17"/>
      <c r="F15" s="17" t="s">
        <v>0</v>
      </c>
      <c r="G15" s="22" t="s">
        <v>12</v>
      </c>
      <c r="H15" s="22" t="s">
        <v>13</v>
      </c>
      <c r="I15" s="5"/>
    </row>
    <row x14ac:dyDescent="0.25" r="16" customHeight="1" ht="18.75">
      <c r="A16" s="1"/>
      <c r="B16" s="1"/>
      <c r="C16" s="23" t="s">
        <v>14</v>
      </c>
      <c r="D16" s="16">
        <v>156</v>
      </c>
      <c r="E16" s="3" t="s">
        <v>15</v>
      </c>
      <c r="F16" s="19" t="s">
        <v>16</v>
      </c>
      <c r="G16" s="23">
        <v>171</v>
      </c>
      <c r="H16" s="23">
        <v>171</v>
      </c>
      <c r="I16" s="5"/>
    </row>
    <row x14ac:dyDescent="0.25" r="17" customHeight="1" ht="19.5">
      <c r="A17" s="1"/>
      <c r="B17" s="1"/>
      <c r="C17" s="23" t="s">
        <v>17</v>
      </c>
      <c r="D17" s="16">
        <v>240</v>
      </c>
      <c r="E17" s="3" t="s">
        <v>18</v>
      </c>
      <c r="F17" s="19" t="s">
        <v>16</v>
      </c>
      <c r="G17" s="19">
        <v>170</v>
      </c>
      <c r="H17" s="19">
        <v>208</v>
      </c>
      <c r="I17" s="5"/>
    </row>
    <row x14ac:dyDescent="0.25" r="18" customHeight="1" ht="18.75">
      <c r="A18" s="1"/>
      <c r="B18" s="1"/>
      <c r="C18" s="23" t="s">
        <v>19</v>
      </c>
      <c r="D18" s="24">
        <v>3.11</v>
      </c>
      <c r="E18" s="3" t="s">
        <v>20</v>
      </c>
      <c r="F18" s="19" t="s">
        <v>16</v>
      </c>
      <c r="G18" s="24">
        <v>2.32</v>
      </c>
      <c r="H18" s="24">
        <v>2.75</v>
      </c>
      <c r="I18" s="5"/>
    </row>
    <row x14ac:dyDescent="0.25" r="19" customHeight="1" ht="18.75">
      <c r="A19" s="1"/>
      <c r="B19" s="1"/>
      <c r="C19" s="23" t="s">
        <v>21</v>
      </c>
      <c r="D19" s="24">
        <v>39.33</v>
      </c>
      <c r="E19" s="3" t="s">
        <v>22</v>
      </c>
      <c r="F19" s="19" t="s">
        <v>16</v>
      </c>
      <c r="G19" s="24">
        <v>29.32</v>
      </c>
      <c r="H19" s="24">
        <v>34.78</v>
      </c>
      <c r="I19" s="5"/>
    </row>
    <row x14ac:dyDescent="0.25" r="20" customHeight="1" ht="18.75">
      <c r="A20" s="1"/>
      <c r="B20" s="1"/>
      <c r="C20" s="1"/>
      <c r="D20" s="23"/>
      <c r="E20" s="3"/>
      <c r="F20" s="4"/>
      <c r="G20" s="19"/>
      <c r="H20" s="4"/>
      <c r="I20" s="5"/>
    </row>
    <row x14ac:dyDescent="0.25" r="21" customHeight="1" ht="18.75">
      <c r="A21" s="1"/>
      <c r="B21" s="1"/>
      <c r="C21" s="23" t="s">
        <v>23</v>
      </c>
      <c r="D21" s="25">
        <v>151</v>
      </c>
      <c r="E21" s="3"/>
      <c r="F21" s="19" t="s">
        <v>24</v>
      </c>
      <c r="G21" s="25">
        <v>240</v>
      </c>
      <c r="H21" s="4" t="s">
        <v>18</v>
      </c>
      <c r="I21" s="5"/>
    </row>
    <row x14ac:dyDescent="0.25" r="22" customHeight="1" ht="18.75">
      <c r="A22" s="1"/>
      <c r="B22" s="1"/>
      <c r="C22" s="1"/>
      <c r="D22" s="2"/>
      <c r="E22" s="3"/>
      <c r="F22" s="4"/>
      <c r="G22" s="4"/>
      <c r="H22" s="4"/>
      <c r="I22" s="5"/>
    </row>
    <row x14ac:dyDescent="0.25" r="23" customHeight="1" ht="19.5">
      <c r="A23" s="26" t="s">
        <v>25</v>
      </c>
      <c r="B23" s="27"/>
      <c r="C23" s="28"/>
      <c r="D23" s="28"/>
      <c r="E23" s="29"/>
      <c r="F23" s="29"/>
      <c r="G23" s="29"/>
      <c r="H23" s="30"/>
      <c r="I23" s="5"/>
    </row>
    <row x14ac:dyDescent="0.25" r="24" customHeight="1" ht="18.75">
      <c r="A24" s="1"/>
      <c r="B24" s="31"/>
      <c r="C24" s="1"/>
      <c r="D24" s="2"/>
      <c r="E24" s="3"/>
      <c r="F24" s="4"/>
      <c r="G24" s="4"/>
      <c r="H24" s="32"/>
      <c r="I24" s="5"/>
    </row>
    <row x14ac:dyDescent="0.25" r="25" customHeight="1" ht="18.75">
      <c r="A25" s="1"/>
      <c r="B25" s="33"/>
      <c r="C25" s="34"/>
      <c r="D25" s="34"/>
      <c r="E25" s="35"/>
      <c r="F25" s="35"/>
      <c r="G25" s="35"/>
      <c r="H25" s="36"/>
      <c r="I25" s="5"/>
    </row>
    <row x14ac:dyDescent="0.25" r="26" customHeight="1" ht="18.75">
      <c r="A26" s="1"/>
      <c r="B26" s="1"/>
      <c r="C26" s="1"/>
      <c r="D26" s="2"/>
      <c r="E26" s="3"/>
      <c r="F26" s="4"/>
      <c r="G26" s="4"/>
      <c r="H26" s="4"/>
      <c r="I26" s="5"/>
    </row>
    <row x14ac:dyDescent="0.25" r="27" customHeight="1" ht="19.5">
      <c r="A27" s="26" t="s">
        <v>26</v>
      </c>
      <c r="B27" s="27"/>
      <c r="C27" s="28"/>
      <c r="D27" s="28"/>
      <c r="E27" s="29"/>
      <c r="F27" s="29"/>
      <c r="G27" s="29"/>
      <c r="H27" s="30"/>
      <c r="I27" s="5"/>
    </row>
    <row x14ac:dyDescent="0.25" r="28" customHeight="1" ht="18.75">
      <c r="A28" s="1"/>
      <c r="B28" s="31"/>
      <c r="C28" s="1"/>
      <c r="D28" s="2"/>
      <c r="E28" s="3"/>
      <c r="F28" s="4"/>
      <c r="G28" s="4"/>
      <c r="H28" s="32"/>
      <c r="I28" s="5"/>
    </row>
    <row x14ac:dyDescent="0.25" r="29" customHeight="1" ht="18.75">
      <c r="A29" s="1"/>
      <c r="B29" s="33"/>
      <c r="C29" s="34"/>
      <c r="D29" s="34"/>
      <c r="E29" s="35"/>
      <c r="F29" s="35"/>
      <c r="G29" s="35"/>
      <c r="H29" s="36"/>
      <c r="I29" s="5"/>
    </row>
    <row x14ac:dyDescent="0.25" r="30" customHeight="1" ht="18.75">
      <c r="A30" s="1"/>
      <c r="B30" s="1"/>
      <c r="C30" s="34"/>
      <c r="D30" s="2"/>
      <c r="E30" s="3"/>
      <c r="F30" s="4"/>
      <c r="G30" s="4"/>
      <c r="H30" s="4"/>
      <c r="I30" s="5"/>
    </row>
    <row x14ac:dyDescent="0.25" r="31" customHeight="1" ht="18.75">
      <c r="A31" s="26" t="s">
        <v>27</v>
      </c>
      <c r="B31" s="1"/>
      <c r="C31" s="37">
        <f>C39</f>
      </c>
      <c r="D31" s="26" t="s">
        <v>28</v>
      </c>
      <c r="E31" s="3"/>
      <c r="F31" s="4"/>
      <c r="G31" s="4"/>
      <c r="H31" s="4"/>
      <c r="I31" s="5"/>
    </row>
    <row x14ac:dyDescent="0.25" r="32" customHeight="1" ht="18.75">
      <c r="A32" s="26" t="s">
        <v>29</v>
      </c>
      <c r="B32" s="38"/>
      <c r="C32" s="39">
        <f>+C40</f>
      </c>
      <c r="D32" s="26" t="s">
        <v>30</v>
      </c>
      <c r="E32" s="3"/>
      <c r="F32" s="4"/>
      <c r="G32" s="4"/>
      <c r="H32" s="4"/>
      <c r="I32" s="5"/>
    </row>
    <row x14ac:dyDescent="0.25" r="33" customHeight="1" ht="18.75">
      <c r="A33" s="26" t="s">
        <v>31</v>
      </c>
      <c r="B33" s="38"/>
      <c r="C33" s="40">
        <f>+C41</f>
      </c>
      <c r="D33" s="26" t="s">
        <v>32</v>
      </c>
      <c r="E33" s="3"/>
      <c r="F33" s="4"/>
      <c r="G33" s="4"/>
      <c r="H33" s="4"/>
      <c r="I33" s="5"/>
    </row>
    <row x14ac:dyDescent="0.25" r="34" customHeight="1" ht="18.75">
      <c r="A34" s="1"/>
      <c r="B34" s="1"/>
      <c r="C34" s="41">
        <f>+C42</f>
      </c>
      <c r="D34" s="26" t="s">
        <v>33</v>
      </c>
      <c r="E34" s="3"/>
      <c r="F34" s="4"/>
      <c r="G34" s="4"/>
      <c r="H34" s="4"/>
      <c r="I34" s="5"/>
    </row>
    <row x14ac:dyDescent="0.25" r="35" customHeight="1" ht="18.75">
      <c r="A35" s="1"/>
      <c r="B35" s="1"/>
      <c r="C35" s="42">
        <f>+C44</f>
      </c>
      <c r="D35" s="26" t="s">
        <v>34</v>
      </c>
      <c r="E35" s="3"/>
      <c r="F35" s="4"/>
      <c r="G35" s="4"/>
      <c r="H35" s="4"/>
      <c r="I35" s="5"/>
    </row>
    <row x14ac:dyDescent="0.25" r="36" customHeight="1" ht="18.75">
      <c r="A36" s="1"/>
      <c r="B36" s="1"/>
      <c r="C36" s="43">
        <f>C45</f>
      </c>
      <c r="D36" s="26" t="s">
        <v>35</v>
      </c>
      <c r="E36" s="3"/>
      <c r="F36" s="4"/>
      <c r="G36" s="4"/>
      <c r="H36" s="4"/>
      <c r="I36" s="5"/>
    </row>
    <row x14ac:dyDescent="0.25" r="37" customHeight="1" ht="18.75">
      <c r="A37" s="26" t="s">
        <v>36</v>
      </c>
      <c r="B37" s="1"/>
      <c r="C37" s="1"/>
      <c r="D37" s="2"/>
      <c r="E37" s="3"/>
      <c r="F37" s="4"/>
      <c r="G37" s="4"/>
      <c r="H37" s="4"/>
      <c r="I37" s="5"/>
    </row>
    <row x14ac:dyDescent="0.25" r="38" customHeight="1" ht="18.75">
      <c r="A38" s="26" t="s">
        <v>37</v>
      </c>
      <c r="B38" s="1"/>
      <c r="C38" s="44" t="s">
        <v>38</v>
      </c>
      <c r="D38" s="44" t="s">
        <v>39</v>
      </c>
      <c r="E38" s="45" t="s">
        <v>40</v>
      </c>
      <c r="F38" s="45" t="s">
        <v>41</v>
      </c>
      <c r="G38" s="45" t="s">
        <v>42</v>
      </c>
      <c r="H38" s="45" t="s">
        <v>43</v>
      </c>
      <c r="I38" s="5"/>
    </row>
    <row x14ac:dyDescent="0.25" r="39" customHeight="1" ht="18.75">
      <c r="A39" s="46" t="s">
        <v>44</v>
      </c>
      <c r="B39" s="46"/>
      <c r="C39" s="37">
        <v>106</v>
      </c>
      <c r="D39" s="37">
        <v>106</v>
      </c>
      <c r="E39" s="37">
        <v>116</v>
      </c>
      <c r="F39" s="37">
        <v>106</v>
      </c>
      <c r="G39" s="37">
        <v>111</v>
      </c>
      <c r="H39" s="37">
        <v>106</v>
      </c>
      <c r="I39" s="5"/>
    </row>
    <row x14ac:dyDescent="0.25" r="40" customHeight="1" ht="18.75">
      <c r="A40" s="46" t="s">
        <v>45</v>
      </c>
      <c r="B40" s="46" t="s">
        <v>46</v>
      </c>
      <c r="C40" s="39">
        <v>113</v>
      </c>
      <c r="D40" s="39">
        <v>113</v>
      </c>
      <c r="E40" s="39">
        <v>125</v>
      </c>
      <c r="F40" s="39">
        <v>113</v>
      </c>
      <c r="G40" s="39">
        <v>118</v>
      </c>
      <c r="H40" s="39">
        <v>113</v>
      </c>
      <c r="I40" s="5"/>
    </row>
    <row x14ac:dyDescent="0.25" r="41" customHeight="1" ht="18.75">
      <c r="A41" s="46" t="s">
        <v>47</v>
      </c>
      <c r="B41" s="46" t="s">
        <v>46</v>
      </c>
      <c r="C41" s="40">
        <v>128</v>
      </c>
      <c r="D41" s="40">
        <v>128</v>
      </c>
      <c r="E41" s="40">
        <v>141</v>
      </c>
      <c r="F41" s="40">
        <v>128</v>
      </c>
      <c r="G41" s="40">
        <v>133</v>
      </c>
      <c r="H41" s="40">
        <v>128</v>
      </c>
      <c r="I41" s="5"/>
    </row>
    <row x14ac:dyDescent="0.25" r="42" customHeight="1" ht="18.75">
      <c r="A42" s="46" t="s">
        <v>48</v>
      </c>
      <c r="B42" s="46" t="s">
        <v>46</v>
      </c>
      <c r="C42" s="41">
        <v>143</v>
      </c>
      <c r="D42" s="41">
        <v>143</v>
      </c>
      <c r="E42" s="41">
        <v>158</v>
      </c>
      <c r="F42" s="41">
        <v>143</v>
      </c>
      <c r="G42" s="41">
        <v>148</v>
      </c>
      <c r="H42" s="41">
        <v>143</v>
      </c>
      <c r="I42" s="5"/>
    </row>
    <row x14ac:dyDescent="0.25" r="43" customHeight="1" ht="18.75">
      <c r="A43" s="46"/>
      <c r="B43" s="46"/>
      <c r="C43" s="37"/>
      <c r="D43" s="37"/>
      <c r="E43" s="37"/>
      <c r="F43" s="37"/>
      <c r="G43" s="37"/>
      <c r="H43" s="37"/>
      <c r="I43" s="5"/>
    </row>
    <row x14ac:dyDescent="0.25" r="44" customHeight="1" ht="18.75">
      <c r="A44" s="46" t="s">
        <v>49</v>
      </c>
      <c r="B44" s="46" t="s">
        <v>46</v>
      </c>
      <c r="C44" s="42">
        <v>159</v>
      </c>
      <c r="D44" s="42">
        <v>159</v>
      </c>
      <c r="E44" s="42">
        <v>174</v>
      </c>
      <c r="F44" s="42">
        <v>159</v>
      </c>
      <c r="G44" s="42">
        <v>164</v>
      </c>
      <c r="H44" s="42">
        <v>159</v>
      </c>
      <c r="I44" s="5"/>
    </row>
    <row x14ac:dyDescent="0.25" r="45" customHeight="1" ht="18.75">
      <c r="A45" s="46" t="s">
        <v>50</v>
      </c>
      <c r="B45" s="46" t="s">
        <v>46</v>
      </c>
      <c r="C45" s="43">
        <v>166</v>
      </c>
      <c r="D45" s="43">
        <v>166</v>
      </c>
      <c r="E45" s="43">
        <v>183</v>
      </c>
      <c r="F45" s="43">
        <v>166</v>
      </c>
      <c r="G45" s="43">
        <v>171</v>
      </c>
      <c r="H45" s="43">
        <v>166</v>
      </c>
      <c r="I45" s="5"/>
    </row>
    <row x14ac:dyDescent="0.25" r="46" customHeight="1" ht="18.75">
      <c r="A46" s="46" t="s">
        <v>51</v>
      </c>
      <c r="B46" s="1"/>
      <c r="C46" s="37">
        <v>111</v>
      </c>
      <c r="D46" s="37">
        <v>111</v>
      </c>
      <c r="E46" s="37">
        <v>121</v>
      </c>
      <c r="F46" s="37">
        <v>111</v>
      </c>
      <c r="G46" s="37">
        <v>116</v>
      </c>
      <c r="H46" s="37">
        <v>111</v>
      </c>
      <c r="I46" s="5"/>
    </row>
    <row x14ac:dyDescent="0.25" r="47" customHeight="1" ht="18.75">
      <c r="A47" s="1"/>
      <c r="B47" s="1"/>
      <c r="C47" s="1"/>
      <c r="D47" s="2"/>
      <c r="E47" s="3"/>
      <c r="F47" s="4"/>
      <c r="G47" s="4"/>
      <c r="H47" s="4"/>
      <c r="I47" s="5"/>
    </row>
    <row x14ac:dyDescent="0.25" r="48" customHeight="1" ht="18.75">
      <c r="A48" s="1" t="s">
        <v>52</v>
      </c>
      <c r="B48" s="1"/>
      <c r="C48" s="1"/>
      <c r="D48" s="2"/>
      <c r="E48" s="3"/>
      <c r="F48" s="19" t="s">
        <v>53</v>
      </c>
      <c r="G48" s="47">
        <f>D19</f>
      </c>
      <c r="H48" s="4"/>
      <c r="I48" s="5"/>
    </row>
    <row x14ac:dyDescent="0.25" r="49" customHeight="1" ht="18.75">
      <c r="A49" s="1"/>
      <c r="B49" s="1"/>
      <c r="C49" s="1"/>
      <c r="D49" s="2"/>
      <c r="E49" s="3"/>
      <c r="F49" s="19"/>
      <c r="G49" s="47"/>
      <c r="H49" s="4"/>
      <c r="I49" s="5"/>
    </row>
    <row x14ac:dyDescent="0.25" r="50" customHeight="1" ht="18.75">
      <c r="A50" s="1" t="s">
        <v>54</v>
      </c>
      <c r="B50" s="1"/>
      <c r="C50" s="1" t="s">
        <v>55</v>
      </c>
      <c r="D50" s="23">
        <v>1</v>
      </c>
      <c r="E50" s="3"/>
      <c r="F50" s="4"/>
      <c r="G50" s="4"/>
      <c r="H50" s="4"/>
      <c r="I50" s="5"/>
    </row>
    <row x14ac:dyDescent="0.25" r="51" customHeight="1" ht="18.75">
      <c r="A51" s="1" t="s">
        <v>56</v>
      </c>
      <c r="B51" s="1"/>
      <c r="C51" s="1" t="s">
        <v>57</v>
      </c>
      <c r="D51" s="23">
        <v>2</v>
      </c>
      <c r="E51" s="3"/>
      <c r="F51" s="4"/>
      <c r="G51" s="4"/>
      <c r="H51" s="4"/>
      <c r="I51" s="5"/>
    </row>
    <row x14ac:dyDescent="0.25" r="52" customHeight="1" ht="18.75">
      <c r="A52" s="1" t="s">
        <v>58</v>
      </c>
      <c r="B52" s="1"/>
      <c r="C52" s="1" t="s">
        <v>59</v>
      </c>
      <c r="D52" s="23">
        <v>3</v>
      </c>
      <c r="E52" s="3"/>
      <c r="F52" s="4"/>
      <c r="G52" s="4"/>
      <c r="H52" s="4"/>
      <c r="I52" s="5"/>
    </row>
    <row x14ac:dyDescent="0.25" r="53" customHeight="1" ht="18.75">
      <c r="A53" s="1" t="s">
        <v>60</v>
      </c>
      <c r="B53" s="1"/>
      <c r="C53" s="1" t="s">
        <v>61</v>
      </c>
      <c r="D53" s="23">
        <v>4</v>
      </c>
      <c r="E53" s="3"/>
      <c r="F53" s="4"/>
      <c r="G53" s="4"/>
      <c r="H53" s="4"/>
      <c r="I53" s="5"/>
    </row>
    <row x14ac:dyDescent="0.25" r="54" customHeight="1" ht="18.75">
      <c r="A54" s="1" t="s">
        <v>62</v>
      </c>
      <c r="B54" s="1"/>
      <c r="C54" s="1" t="s">
        <v>63</v>
      </c>
      <c r="D54" s="23">
        <v>5</v>
      </c>
      <c r="E54" s="3"/>
      <c r="F54" s="4"/>
      <c r="G54" s="4"/>
      <c r="H54" s="4"/>
      <c r="I54" s="5"/>
    </row>
    <row x14ac:dyDescent="0.25" r="55" customHeight="1" ht="18.75">
      <c r="A55" s="1" t="s">
        <v>64</v>
      </c>
      <c r="B55" s="1"/>
      <c r="C55" s="1" t="s">
        <v>65</v>
      </c>
      <c r="D55" s="23">
        <v>6</v>
      </c>
      <c r="E55" s="3"/>
      <c r="F55" s="4"/>
      <c r="G55" s="4"/>
      <c r="H55" s="4"/>
      <c r="I55" s="5"/>
    </row>
    <row x14ac:dyDescent="0.25" r="56" customHeight="1" ht="18.75">
      <c r="A56" s="1"/>
      <c r="B56" s="1"/>
      <c r="C56" s="1"/>
      <c r="D56" s="2"/>
      <c r="E56" s="3"/>
      <c r="F56" s="4"/>
      <c r="G56" s="4"/>
      <c r="H56" s="4"/>
      <c r="I56" s="5"/>
    </row>
    <row x14ac:dyDescent="0.25" r="57" customHeight="1" ht="18.75">
      <c r="A57" s="1"/>
      <c r="B57" s="1"/>
      <c r="C57" s="1"/>
      <c r="D57" s="2"/>
      <c r="E57" s="3"/>
      <c r="F57" s="4"/>
      <c r="G57" s="4"/>
      <c r="H57" s="4"/>
      <c r="I57" s="5"/>
    </row>
    <row x14ac:dyDescent="0.25" r="58" customHeight="1" ht="18.75">
      <c r="A58" s="1"/>
      <c r="B58" s="1"/>
      <c r="C58" s="1"/>
      <c r="D58" s="2"/>
      <c r="E58" s="3"/>
      <c r="F58" s="4"/>
      <c r="G58" s="4"/>
      <c r="H58" s="4"/>
      <c r="I58" s="5"/>
    </row>
    <row x14ac:dyDescent="0.25" r="59" customHeight="1" ht="18.75">
      <c r="A59" s="1"/>
      <c r="B59" s="1"/>
      <c r="C59" s="1"/>
      <c r="D59" s="2"/>
      <c r="E59" s="3"/>
      <c r="F59" s="4"/>
      <c r="G59" s="4"/>
      <c r="H59" s="4"/>
      <c r="I59" s="5"/>
    </row>
    <row x14ac:dyDescent="0.25" r="60" customHeight="1" ht="18.75">
      <c r="A60" s="1"/>
      <c r="B60" s="1"/>
      <c r="C60" s="1"/>
      <c r="D60" s="2"/>
      <c r="E60" s="3"/>
      <c r="F60" s="4"/>
      <c r="G60" s="4"/>
      <c r="H60" s="4"/>
      <c r="I60" s="5"/>
    </row>
    <row x14ac:dyDescent="0.25" r="61" customHeight="1" ht="18.75">
      <c r="A61" s="1"/>
      <c r="B61" s="1"/>
      <c r="C61" s="1"/>
      <c r="D61" s="2"/>
      <c r="E61" s="3"/>
      <c r="F61" s="4"/>
      <c r="G61" s="4"/>
      <c r="H61" s="4"/>
      <c r="I61" s="5"/>
    </row>
    <row x14ac:dyDescent="0.25" r="62" customHeight="1" ht="18.75">
      <c r="A62" s="48"/>
      <c r="B62" s="48"/>
      <c r="C62" s="48"/>
      <c r="D62" s="48"/>
      <c r="E62" s="49" t="s">
        <v>66</v>
      </c>
      <c r="F62" s="49"/>
      <c r="G62" s="49"/>
      <c r="H62" s="49"/>
      <c r="I62" s="50"/>
    </row>
    <row x14ac:dyDescent="0.25" r="63" customHeight="1" ht="18.75">
      <c r="A63" s="1" t="s">
        <v>0</v>
      </c>
      <c r="B63" s="1"/>
      <c r="C63" s="1" t="s">
        <v>0</v>
      </c>
      <c r="D63" s="2" t="s">
        <v>0</v>
      </c>
      <c r="E63" s="3" t="s">
        <v>0</v>
      </c>
      <c r="F63" s="4"/>
      <c r="G63" s="4"/>
      <c r="H63" s="4"/>
      <c r="I63" s="5"/>
    </row>
    <row x14ac:dyDescent="0.25" r="64" customHeight="1" ht="18.75">
      <c r="A64" s="1"/>
      <c r="B64" s="1"/>
      <c r="C64" s="1"/>
      <c r="D64" s="2"/>
      <c r="E64" s="3"/>
      <c r="F64" s="4"/>
      <c r="G64" s="4"/>
      <c r="H64" s="4"/>
      <c r="I64" s="5"/>
    </row>
    <row x14ac:dyDescent="0.25" r="65" customHeight="1" ht="18.75">
      <c r="A65" s="51" t="s">
        <v>67</v>
      </c>
      <c r="B65" s="51"/>
      <c r="C65" s="51"/>
      <c r="D65" s="2"/>
      <c r="E65" s="3"/>
      <c r="F65" s="4"/>
      <c r="G65" s="4"/>
      <c r="H65" s="4"/>
      <c r="I65" s="5"/>
    </row>
    <row x14ac:dyDescent="0.25" r="66" customHeight="1" ht="18.75">
      <c r="A66" s="51"/>
      <c r="B66" s="51"/>
      <c r="C66" s="51"/>
      <c r="D66" s="2"/>
      <c r="E66" s="3"/>
      <c r="F66" s="4"/>
      <c r="G66" s="4"/>
      <c r="H66" s="4"/>
      <c r="I66" s="5"/>
    </row>
    <row x14ac:dyDescent="0.25" r="67" customHeight="1" ht="18.75">
      <c r="A67" s="51"/>
      <c r="B67" s="51"/>
      <c r="C67" s="51"/>
      <c r="D67" s="2"/>
      <c r="E67" s="3"/>
      <c r="F67" s="4"/>
      <c r="G67" s="4"/>
      <c r="H67" s="4"/>
      <c r="I67" s="5"/>
    </row>
    <row x14ac:dyDescent="0.25" r="68" customHeight="1" ht="18.75">
      <c r="A68" s="51"/>
      <c r="B68" s="51"/>
      <c r="C68" s="51"/>
      <c r="D68" s="52" t="s">
        <v>68</v>
      </c>
      <c r="E68" s="53"/>
      <c r="F68" s="4"/>
      <c r="G68" s="4"/>
      <c r="H68" s="4"/>
      <c r="I68" s="5"/>
    </row>
    <row x14ac:dyDescent="0.25" r="69" customHeight="1" ht="18.75">
      <c r="A69" s="51"/>
      <c r="B69" s="51"/>
      <c r="C69" s="51"/>
      <c r="D69" s="52"/>
      <c r="E69" s="53"/>
      <c r="F69" s="4"/>
      <c r="G69" s="4"/>
      <c r="H69" s="4"/>
      <c r="I69" s="5"/>
    </row>
    <row x14ac:dyDescent="0.25" r="70" customHeight="1" ht="18.75">
      <c r="A70" s="51"/>
      <c r="B70" s="51"/>
      <c r="C70" s="51"/>
      <c r="D70" s="52"/>
      <c r="E70" s="53"/>
      <c r="F70" s="54" t="s">
        <v>69</v>
      </c>
      <c r="G70" s="54"/>
      <c r="H70" s="4"/>
      <c r="I70" s="5"/>
    </row>
    <row x14ac:dyDescent="0.25" r="71" customHeight="1" ht="18.75">
      <c r="A71" s="38">
        <v>70</v>
      </c>
      <c r="B71" s="38"/>
      <c r="C71" s="15">
        <f>C39</f>
      </c>
      <c r="D71" s="38"/>
      <c r="E71" s="15">
        <f>D21</f>
      </c>
      <c r="F71" s="17"/>
      <c r="G71" s="15">
        <f>D16</f>
      </c>
      <c r="H71" s="4" t="s">
        <v>31</v>
      </c>
      <c r="I71" s="5"/>
    </row>
    <row x14ac:dyDescent="0.25" r="72" customHeight="1" ht="18.75">
      <c r="A72" s="1"/>
      <c r="B72" s="1"/>
      <c r="C72" s="1"/>
      <c r="D72" s="2"/>
      <c r="E72" s="3"/>
      <c r="F72" s="4"/>
      <c r="G72" s="4"/>
      <c r="H72" s="4"/>
      <c r="I72" s="5"/>
    </row>
    <row x14ac:dyDescent="0.25" r="73" customHeight="1" ht="18.75">
      <c r="A73" s="1" t="s">
        <v>70</v>
      </c>
      <c r="B73" s="22">
        <f>C71</f>
      </c>
      <c r="C73" s="55" t="s">
        <v>71</v>
      </c>
      <c r="D73" s="22">
        <f>E71</f>
      </c>
      <c r="E73" s="3" t="s">
        <v>72</v>
      </c>
      <c r="F73" s="4"/>
      <c r="G73" s="4"/>
      <c r="H73" s="4"/>
      <c r="I73" s="5"/>
    </row>
    <row x14ac:dyDescent="0.25" r="74" customHeight="1" ht="18.75">
      <c r="A74" s="1" t="s">
        <v>70</v>
      </c>
      <c r="B74" s="22">
        <f>E71</f>
      </c>
      <c r="C74" s="55" t="s">
        <v>71</v>
      </c>
      <c r="D74" s="22">
        <f>D16</f>
      </c>
      <c r="E74" s="3" t="s">
        <v>73</v>
      </c>
      <c r="F74" s="4"/>
      <c r="G74" s="4"/>
      <c r="H74" s="4"/>
      <c r="I74" s="5"/>
    </row>
    <row x14ac:dyDescent="0.25" r="75" customHeight="1" ht="18.75">
      <c r="A75" s="1" t="s">
        <v>70</v>
      </c>
      <c r="B75" s="21">
        <f>A71</f>
      </c>
      <c r="C75" s="55" t="s">
        <v>71</v>
      </c>
      <c r="D75" s="22">
        <f>C71</f>
      </c>
      <c r="E75" s="3" t="s">
        <v>74</v>
      </c>
      <c r="F75" s="4"/>
      <c r="G75" s="4"/>
      <c r="H75" s="4"/>
      <c r="I75" s="5"/>
    </row>
    <row x14ac:dyDescent="0.25" r="76" customHeight="1" ht="18.75">
      <c r="A76" s="1"/>
      <c r="B76" s="1"/>
      <c r="C76" s="1"/>
      <c r="D76" s="2"/>
      <c r="E76" s="3"/>
      <c r="F76" s="4"/>
      <c r="G76" s="4"/>
      <c r="H76" s="4"/>
      <c r="I76" s="5"/>
    </row>
    <row x14ac:dyDescent="0.25" r="77" customHeight="1" ht="18.75">
      <c r="A77" s="1"/>
      <c r="B77" s="1"/>
      <c r="C77" s="1"/>
      <c r="D77" s="2"/>
      <c r="E77" s="3"/>
      <c r="F77" s="4"/>
      <c r="G77" s="4"/>
      <c r="H77" s="4"/>
      <c r="I77" s="5"/>
    </row>
    <row x14ac:dyDescent="0.25" r="78" customHeight="1" ht="18.75">
      <c r="A78" s="1"/>
      <c r="B78" s="1" t="s">
        <v>44</v>
      </c>
      <c r="C78" s="1" t="s">
        <v>75</v>
      </c>
      <c r="D78" s="2" t="s">
        <v>76</v>
      </c>
      <c r="E78" s="3" t="s">
        <v>77</v>
      </c>
      <c r="F78" s="4"/>
      <c r="G78" s="4"/>
      <c r="H78" s="4"/>
      <c r="I78" s="5"/>
    </row>
    <row x14ac:dyDescent="0.25" r="79" customHeight="1" ht="18.75">
      <c r="A79" s="1" t="s">
        <v>78</v>
      </c>
      <c r="B79" s="55">
        <v>6</v>
      </c>
      <c r="C79" s="55">
        <v>20</v>
      </c>
      <c r="D79" s="55">
        <v>6</v>
      </c>
      <c r="E79" s="55">
        <v>6</v>
      </c>
      <c r="F79" s="4" t="s">
        <v>79</v>
      </c>
      <c r="G79" s="4"/>
      <c r="H79" s="4"/>
      <c r="I79" s="5"/>
    </row>
    <row x14ac:dyDescent="0.25" r="80" customHeight="1" ht="18.75">
      <c r="A80" s="1" t="s">
        <v>80</v>
      </c>
      <c r="B80" s="55">
        <v>6</v>
      </c>
      <c r="C80" s="55">
        <f>C79+4</f>
      </c>
      <c r="D80" s="55">
        <v>6</v>
      </c>
      <c r="E80" s="55">
        <v>6</v>
      </c>
      <c r="F80" s="4" t="s">
        <v>79</v>
      </c>
      <c r="G80" s="4"/>
      <c r="H80" s="4"/>
      <c r="I80" s="5"/>
    </row>
    <row x14ac:dyDescent="0.25" r="81" customHeight="1" ht="18.75">
      <c r="A81" s="1" t="s">
        <v>81</v>
      </c>
      <c r="B81" s="55">
        <v>6</v>
      </c>
      <c r="C81" s="55">
        <f>C80+4</f>
      </c>
      <c r="D81" s="55">
        <v>6</v>
      </c>
      <c r="E81" s="55">
        <v>6</v>
      </c>
      <c r="F81" s="4" t="s">
        <v>79</v>
      </c>
      <c r="G81" s="4"/>
      <c r="H81" s="4"/>
      <c r="I81" s="5"/>
    </row>
    <row x14ac:dyDescent="0.25" r="82" customHeight="1" ht="18.75">
      <c r="A82" s="1" t="s">
        <v>82</v>
      </c>
      <c r="B82" s="55">
        <v>6</v>
      </c>
      <c r="C82" s="55">
        <f>C81+4</f>
      </c>
      <c r="D82" s="55">
        <v>6</v>
      </c>
      <c r="E82" s="55">
        <v>6</v>
      </c>
      <c r="F82" s="4" t="s">
        <v>79</v>
      </c>
      <c r="G82" s="4"/>
      <c r="H82" s="4"/>
      <c r="I82" s="5"/>
    </row>
    <row x14ac:dyDescent="0.25" r="83" customHeight="1" ht="18.75">
      <c r="A83" s="1" t="s">
        <v>83</v>
      </c>
      <c r="B83" s="55">
        <v>6</v>
      </c>
      <c r="C83" s="55">
        <f>C82+4</f>
      </c>
      <c r="D83" s="55">
        <v>6</v>
      </c>
      <c r="E83" s="55">
        <v>6</v>
      </c>
      <c r="F83" s="4" t="s">
        <v>79</v>
      </c>
      <c r="G83" s="4"/>
      <c r="H83" s="4"/>
      <c r="I83" s="5"/>
    </row>
    <row x14ac:dyDescent="0.25" r="84" customHeight="1" ht="18.75">
      <c r="A84" s="1" t="s">
        <v>84</v>
      </c>
      <c r="B84" s="55">
        <v>6</v>
      </c>
      <c r="C84" s="55">
        <f>C83+4</f>
      </c>
      <c r="D84" s="55">
        <v>6</v>
      </c>
      <c r="E84" s="55">
        <v>6</v>
      </c>
      <c r="F84" s="4" t="s">
        <v>79</v>
      </c>
      <c r="G84" s="4"/>
      <c r="H84" s="4"/>
      <c r="I84" s="5"/>
    </row>
    <row x14ac:dyDescent="0.25" r="85" customHeight="1" ht="18.75">
      <c r="A85" s="1"/>
      <c r="B85" s="1"/>
      <c r="C85" s="1"/>
      <c r="D85" s="2"/>
      <c r="E85" s="19"/>
      <c r="F85" s="4"/>
      <c r="G85" s="4"/>
      <c r="H85" s="4"/>
      <c r="I85" s="5"/>
    </row>
    <row x14ac:dyDescent="0.25" r="86" customHeight="1" ht="18.75">
      <c r="A86" s="38" t="s">
        <v>85</v>
      </c>
      <c r="B86" s="1"/>
      <c r="C86" s="1"/>
      <c r="D86" s="2"/>
      <c r="E86" s="3"/>
      <c r="F86" s="4"/>
      <c r="G86" s="4"/>
      <c r="H86" s="4"/>
      <c r="I86" s="5"/>
    </row>
    <row x14ac:dyDescent="0.25" r="87" customHeight="1" ht="18.75">
      <c r="A87" s="38" t="s">
        <v>86</v>
      </c>
      <c r="B87" s="1"/>
      <c r="C87" s="1"/>
      <c r="D87" s="2"/>
      <c r="E87" s="3"/>
      <c r="F87" s="4"/>
      <c r="G87" s="4"/>
      <c r="H87" s="4"/>
      <c r="I87" s="5"/>
    </row>
    <row x14ac:dyDescent="0.25" r="88" customHeight="1" ht="18.75">
      <c r="A88" s="1"/>
      <c r="B88" s="1"/>
      <c r="C88" s="1"/>
      <c r="D88" s="2"/>
      <c r="E88" s="3"/>
      <c r="F88" s="4"/>
      <c r="G88" s="4"/>
      <c r="H88" s="4"/>
      <c r="I88" s="5"/>
    </row>
    <row x14ac:dyDescent="0.25" r="89" customHeight="1" ht="18.75">
      <c r="A89" s="55" t="s">
        <v>87</v>
      </c>
      <c r="B89" s="55" t="s">
        <v>88</v>
      </c>
      <c r="C89" s="55" t="s">
        <v>89</v>
      </c>
      <c r="D89" s="55" t="s">
        <v>90</v>
      </c>
      <c r="E89" s="56" t="s">
        <v>91</v>
      </c>
      <c r="F89" s="56" t="s">
        <v>92</v>
      </c>
      <c r="G89" s="56" t="s">
        <v>93</v>
      </c>
      <c r="H89" s="4"/>
      <c r="I89" s="5"/>
    </row>
    <row x14ac:dyDescent="0.25" r="90" customHeight="1" ht="18.75">
      <c r="A90" s="57" t="s">
        <v>94</v>
      </c>
      <c r="B90" s="57" t="s">
        <v>0</v>
      </c>
      <c r="C90" s="57" t="s">
        <v>94</v>
      </c>
      <c r="D90" s="57" t="s">
        <v>0</v>
      </c>
      <c r="E90" s="58" t="s">
        <v>94</v>
      </c>
      <c r="F90" s="58" t="s">
        <v>0</v>
      </c>
      <c r="G90" s="58" t="s">
        <v>0</v>
      </c>
      <c r="H90" s="4"/>
      <c r="I90" s="5"/>
    </row>
    <row x14ac:dyDescent="0.25" r="91" customHeight="1" ht="18.75">
      <c r="A91" s="1"/>
      <c r="B91" s="1"/>
      <c r="C91" s="1"/>
      <c r="D91" s="2"/>
      <c r="E91" s="3"/>
      <c r="F91" s="4"/>
      <c r="G91" s="4"/>
      <c r="H91" s="4"/>
      <c r="I91" s="5"/>
    </row>
    <row x14ac:dyDescent="0.25" r="92" customHeight="1" ht="18.75">
      <c r="A92" s="1"/>
      <c r="B92" s="1"/>
      <c r="C92" s="1"/>
      <c r="D92" s="2"/>
      <c r="E92" s="3"/>
      <c r="F92" s="4"/>
      <c r="G92" s="4"/>
      <c r="H92" s="4"/>
      <c r="I92" s="5"/>
    </row>
    <row x14ac:dyDescent="0.25" r="93" customHeight="1" ht="18.75">
      <c r="A93" s="38" t="s">
        <v>95</v>
      </c>
      <c r="B93" s="1"/>
      <c r="C93" s="1"/>
      <c r="D93" s="2"/>
      <c r="E93" s="3"/>
      <c r="F93" s="4"/>
      <c r="G93" s="4"/>
      <c r="H93" s="4"/>
      <c r="I93" s="5"/>
    </row>
    <row x14ac:dyDescent="0.25" r="94" customHeight="1" ht="18.75">
      <c r="A94" s="46" t="s">
        <v>96</v>
      </c>
      <c r="B94" s="1"/>
      <c r="C94" s="1"/>
      <c r="D94" s="2"/>
      <c r="E94" s="3"/>
      <c r="F94" s="4"/>
      <c r="G94" s="4"/>
      <c r="H94" s="4"/>
      <c r="I94" s="5"/>
    </row>
    <row x14ac:dyDescent="0.25" r="95" customHeight="1" ht="18.75">
      <c r="A95" s="1"/>
      <c r="B95" s="1"/>
      <c r="C95" s="1"/>
      <c r="D95" s="2"/>
      <c r="E95" s="56" t="s">
        <v>97</v>
      </c>
      <c r="F95" s="56"/>
      <c r="G95" s="56" t="s">
        <v>98</v>
      </c>
      <c r="H95" s="59"/>
      <c r="I95" s="5"/>
    </row>
    <row x14ac:dyDescent="0.25" r="96" customHeight="1" ht="18.75">
      <c r="A96" s="1" t="s">
        <v>99</v>
      </c>
      <c r="B96" s="1"/>
      <c r="C96" s="1"/>
      <c r="D96" s="60" t="s">
        <v>46</v>
      </c>
      <c r="E96" s="61">
        <v>106</v>
      </c>
      <c r="F96" s="4"/>
      <c r="G96" s="4"/>
      <c r="H96" s="4"/>
      <c r="I96" s="5"/>
    </row>
    <row x14ac:dyDescent="0.25" r="97" customHeight="1" ht="18.75">
      <c r="A97" s="1" t="s">
        <v>100</v>
      </c>
      <c r="B97" s="1"/>
      <c r="C97" s="1"/>
      <c r="D97" s="60" t="s">
        <v>101</v>
      </c>
      <c r="E97" s="61">
        <v>121</v>
      </c>
      <c r="F97" s="56" t="s">
        <v>71</v>
      </c>
      <c r="G97" s="62">
        <v>136</v>
      </c>
      <c r="H97" s="4"/>
      <c r="I97" s="5"/>
    </row>
    <row x14ac:dyDescent="0.25" r="98" customHeight="1" ht="18.75">
      <c r="A98" s="1" t="s">
        <v>102</v>
      </c>
      <c r="B98" s="1"/>
      <c r="C98" s="1"/>
      <c r="D98" s="60" t="s">
        <v>101</v>
      </c>
      <c r="E98" s="61">
        <v>136</v>
      </c>
      <c r="F98" s="56" t="s">
        <v>71</v>
      </c>
      <c r="G98" s="62">
        <v>151</v>
      </c>
      <c r="H98" s="4"/>
      <c r="I98" s="5"/>
    </row>
    <row x14ac:dyDescent="0.25" r="99" customHeight="1" ht="18.75">
      <c r="A99" s="1" t="s">
        <v>103</v>
      </c>
      <c r="B99" s="1"/>
      <c r="C99" s="1"/>
      <c r="D99" s="60" t="s">
        <v>46</v>
      </c>
      <c r="E99" s="61">
        <v>111</v>
      </c>
      <c r="F99" s="56"/>
      <c r="G99" s="4"/>
      <c r="H99" s="4"/>
      <c r="I99" s="5"/>
    </row>
    <row x14ac:dyDescent="0.25" r="100" customHeight="1" ht="18.75">
      <c r="A100" s="1"/>
      <c r="B100" s="1"/>
      <c r="C100" s="1"/>
      <c r="D100" s="55"/>
      <c r="E100" s="3"/>
      <c r="F100" s="56"/>
      <c r="G100" s="4"/>
      <c r="H100" s="4"/>
      <c r="I100" s="5"/>
    </row>
    <row x14ac:dyDescent="0.25" r="101" customHeight="1" ht="18.75">
      <c r="A101" s="46" t="s">
        <v>104</v>
      </c>
      <c r="B101" s="1"/>
      <c r="C101" s="1"/>
      <c r="D101" s="55"/>
      <c r="E101" s="3"/>
      <c r="F101" s="56"/>
      <c r="G101" s="4"/>
      <c r="H101" s="4"/>
      <c r="I101" s="5"/>
    </row>
    <row x14ac:dyDescent="0.25" r="102" customHeight="1" ht="18.75">
      <c r="A102" s="46"/>
      <c r="B102" s="1"/>
      <c r="C102" s="1"/>
      <c r="D102" s="55"/>
      <c r="E102" s="3"/>
      <c r="F102" s="56"/>
      <c r="G102" s="4"/>
      <c r="H102" s="4"/>
      <c r="I102" s="5"/>
    </row>
    <row x14ac:dyDescent="0.25" r="103" customHeight="1" ht="18.75">
      <c r="A103" s="1" t="s">
        <v>99</v>
      </c>
      <c r="B103" s="1"/>
      <c r="C103" s="1"/>
      <c r="D103" s="60" t="s">
        <v>46</v>
      </c>
      <c r="E103" s="61">
        <v>116</v>
      </c>
      <c r="F103" s="56"/>
      <c r="G103" s="4"/>
      <c r="H103" s="4"/>
      <c r="I103" s="5"/>
    </row>
    <row x14ac:dyDescent="0.25" r="104" customHeight="1" ht="18.75">
      <c r="A104" s="1" t="s">
        <v>100</v>
      </c>
      <c r="B104" s="1"/>
      <c r="C104" s="1"/>
      <c r="D104" s="60" t="s">
        <v>101</v>
      </c>
      <c r="E104" s="61">
        <v>133</v>
      </c>
      <c r="F104" s="56" t="s">
        <v>71</v>
      </c>
      <c r="G104" s="62">
        <v>149</v>
      </c>
      <c r="H104" s="4"/>
      <c r="I104" s="5"/>
    </row>
    <row x14ac:dyDescent="0.25" r="105" customHeight="1" ht="18.75">
      <c r="A105" s="1" t="s">
        <v>102</v>
      </c>
      <c r="B105" s="1"/>
      <c r="C105" s="1"/>
      <c r="D105" s="60" t="s">
        <v>101</v>
      </c>
      <c r="E105" s="61">
        <v>149</v>
      </c>
      <c r="F105" s="56" t="s">
        <v>71</v>
      </c>
      <c r="G105" s="62">
        <v>166</v>
      </c>
      <c r="H105" s="4"/>
      <c r="I105" s="5"/>
    </row>
    <row x14ac:dyDescent="0.25" r="106" customHeight="1" ht="18.75">
      <c r="A106" s="1" t="s">
        <v>103</v>
      </c>
      <c r="B106" s="1"/>
      <c r="C106" s="1"/>
      <c r="D106" s="60" t="s">
        <v>46</v>
      </c>
      <c r="E106" s="61">
        <v>122</v>
      </c>
      <c r="F106" s="4"/>
      <c r="G106" s="4"/>
      <c r="H106" s="4"/>
      <c r="I106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June 17, 2025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2026-01-31T08:30:52.292Z</dcterms:created>
  <dcterms:modified xsi:type="dcterms:W3CDTF">2026-01-31T08:30:52.292Z</dcterms:modified>
</cp:coreProperties>
</file>