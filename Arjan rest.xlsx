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otaal"/>
    <sheet r:id="rId2" sheetId="2" name="June 17, 2025"/>
  </sheets>
  <calcPr fullCalcOnLoad="1"/>
</workbook>
</file>

<file path=xl/sharedStrings.xml><?xml version="1.0" encoding="utf-8"?>
<sst xmlns="http://schemas.openxmlformats.org/spreadsheetml/2006/main" count="105" uniqueCount="93">
  <si>
    <t>Healthcheck Resultaten</t>
  </si>
  <si>
    <t>datum:</t>
  </si>
  <si>
    <t>June 17, 2025</t>
  </si>
  <si>
    <t>naam:</t>
  </si>
  <si>
    <t/>
  </si>
  <si>
    <t>leeftijd:</t>
  </si>
  <si>
    <t>tel.nr::</t>
  </si>
  <si>
    <t>email:</t>
  </si>
  <si>
    <t>De resultaten worden in kleur en getal weergegeven</t>
  </si>
  <si>
    <t>Betekenis van de kleuren</t>
  </si>
  <si>
    <t>goed, binnen de norm</t>
  </si>
  <si>
    <t>aandachtspunt</t>
  </si>
  <si>
    <t>actie ondernemen</t>
  </si>
  <si>
    <t>Verkorte gezondheids vragenlijst</t>
  </si>
  <si>
    <t>Gezondheid</t>
  </si>
  <si>
    <t>opmerkingen</t>
  </si>
  <si>
    <t>Klachten</t>
  </si>
  <si>
    <t>nee</t>
  </si>
  <si>
    <t>Medicijnen</t>
  </si>
  <si>
    <t xml:space="preserve">Onder behandeling </t>
  </si>
  <si>
    <t xml:space="preserve">Sport </t>
  </si>
  <si>
    <t>ja</t>
  </si>
  <si>
    <t>Roken</t>
  </si>
  <si>
    <t>uw score</t>
  </si>
  <si>
    <t>norm</t>
  </si>
  <si>
    <t>lengte</t>
  </si>
  <si>
    <t>gewicht</t>
  </si>
  <si>
    <t>hier boven is overgewicht</t>
  </si>
  <si>
    <t>BMI</t>
  </si>
  <si>
    <t xml:space="preserve"> onder 25</t>
  </si>
  <si>
    <t>gewicht in verhouding tot de lengte</t>
  </si>
  <si>
    <t>vet % man</t>
  </si>
  <si>
    <t xml:space="preserve"> onder 20</t>
  </si>
  <si>
    <t>percentage vet t.o.v. het totale gewicht</t>
  </si>
  <si>
    <t>vet % vrouw</t>
  </si>
  <si>
    <t>onder 30</t>
  </si>
  <si>
    <t>bloeddruk</t>
  </si>
  <si>
    <t>boven</t>
  </si>
  <si>
    <t>de maximale druk bij samentrekking van het hart</t>
  </si>
  <si>
    <t>onder</t>
  </si>
  <si>
    <t>de minimale druk bij ontspanning van het hart</t>
  </si>
  <si>
    <t>Uw verbranding in rust</t>
  </si>
  <si>
    <t>uw verbranding</t>
  </si>
  <si>
    <t>score</t>
  </si>
  <si>
    <t>capaciteit</t>
  </si>
  <si>
    <t>Geef een cijfer voor uw conditie in het het grijze vakje</t>
  </si>
  <si>
    <t>uw conditie</t>
  </si>
  <si>
    <t>watts(= max kracht in training)</t>
  </si>
  <si>
    <t>man</t>
  </si>
  <si>
    <t>vrouw</t>
  </si>
  <si>
    <t>geen beweging</t>
  </si>
  <si>
    <t>Berekening van extra calorie verbruik door sport</t>
  </si>
  <si>
    <t>weinig</t>
  </si>
  <si>
    <t>trainingskracht</t>
  </si>
  <si>
    <t>per week</t>
  </si>
  <si>
    <t>per/dag</t>
  </si>
  <si>
    <t>redelijk</t>
  </si>
  <si>
    <t>aantal min/week</t>
  </si>
  <si>
    <t>calorieen</t>
  </si>
  <si>
    <t>aardig</t>
  </si>
  <si>
    <t>goed</t>
  </si>
  <si>
    <t xml:space="preserve">Berekening van uw calorie inname per dag </t>
  </si>
  <si>
    <t>sportief</t>
  </si>
  <si>
    <t>goede verbranding</t>
  </si>
  <si>
    <t>aan de hoge kant</t>
  </si>
  <si>
    <t>te hoog</t>
  </si>
  <si>
    <t>zeer sportief</t>
  </si>
  <si>
    <t>zonder sporten</t>
  </si>
  <si>
    <t>topsporter</t>
  </si>
  <si>
    <t>met sporten</t>
  </si>
  <si>
    <t>Uitleg</t>
  </si>
  <si>
    <t>rusthartslag</t>
  </si>
  <si>
    <t>70</t>
  </si>
  <si>
    <t>aantal hartslagen per minuut</t>
  </si>
  <si>
    <t>ademfrequentie in rust</t>
  </si>
  <si>
    <t>8-12</t>
  </si>
  <si>
    <t>aantal dat er in en uitgeademd wordt</t>
  </si>
  <si>
    <t>zuurstof verzadiging in rust</t>
  </si>
  <si>
    <t>95-98</t>
  </si>
  <si>
    <t>Percentage zuurstof dat aan het Hb(ijzer) is gebonden</t>
  </si>
  <si>
    <t>Conditie indicatie</t>
  </si>
  <si>
    <t>50 of meer</t>
  </si>
  <si>
    <t>Hier leiden we actuele conditie uit af</t>
  </si>
  <si>
    <t>Vermogen tot herstel</t>
  </si>
  <si>
    <t>30 of meer</t>
  </si>
  <si>
    <t>Hier lezen we de maat van stress  en herstel af</t>
  </si>
  <si>
    <t>Trainings resultaat</t>
  </si>
  <si>
    <t>Hf</t>
  </si>
  <si>
    <t>Bf</t>
  </si>
  <si>
    <t>Con</t>
  </si>
  <si>
    <t>Herst</t>
  </si>
  <si>
    <t>bovendruk</t>
  </si>
  <si>
    <t>onderdruk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</si>
</sst>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i/>
      <sz val="8"/>
      <color rgb="FF0000ff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9999ff"/>
      </patternFill>
    </fill>
    <fill>
      <patternFill patternType="solid">
        <fgColor rgb="FFff8080"/>
      </patternFill>
    </fill>
    <fill>
      <patternFill patternType="solid">
        <fgColor rgb="FFc0c0c0"/>
      </patternFill>
    </fill>
    <fill>
      <patternFill patternType="solid">
        <fgColor rgb="FFffcc00"/>
      </patternFill>
    </fill>
    <fill>
      <patternFill patternType="solid">
        <fgColor rgb="FFccffff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xfId="0" numFmtId="0" borderId="0" fontId="0" fillId="0"/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164" applyNumberFormat="1" borderId="2" applyBorder="1" fontId="3" applyFont="1" fillId="0" applyAlignment="1">
      <alignment horizontal="left"/>
    </xf>
    <xf xfId="0" numFmtId="164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49" applyNumberFormat="1" borderId="3" applyBorder="1" fontId="4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164" applyNumberFormat="1" borderId="5" applyBorder="1" fontId="3" applyFont="1" fillId="0" applyAlignment="1">
      <alignment horizontal="left"/>
    </xf>
    <xf xfId="0" numFmtId="164" applyNumberFormat="1" borderId="0" fontId="0" fillId="0" quotePrefix="1" applyAlignment="1">
      <alignment horizontal="general"/>
    </xf>
    <xf xfId="0" numFmtId="0" borderId="6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164" applyNumberFormat="1" borderId="7" applyBorder="1" fontId="4" applyFont="1" fillId="0" applyAlignment="1">
      <alignment horizontal="left"/>
    </xf>
    <xf xfId="0" numFmtId="164" applyNumberFormat="1" borderId="8" applyBorder="1" fontId="4" applyFont="1" fillId="0" applyAlignment="1">
      <alignment horizontal="left"/>
    </xf>
    <xf xfId="0" numFmtId="3" applyNumberFormat="1" borderId="8" applyBorder="1" fontId="4" applyFont="1" fillId="0" applyAlignment="1">
      <alignment horizontal="left"/>
    </xf>
    <xf xfId="0" numFmtId="49" applyNumberFormat="1" borderId="8" applyBorder="1" fontId="4" applyFont="1" fillId="0" applyAlignment="1">
      <alignment horizontal="left"/>
    </xf>
    <xf xfId="0" numFmtId="0" borderId="8" applyBorder="1" fontId="4" applyFont="1" fillId="0" applyAlignment="1">
      <alignment horizontal="left"/>
    </xf>
    <xf xfId="0" numFmtId="0" borderId="9" applyBorder="1" fontId="4" applyFont="1" fillId="0" applyAlignment="1">
      <alignment horizontal="left"/>
    </xf>
    <xf xfId="0" numFmtId="164" applyNumberFormat="1" borderId="1" applyBorder="1" fontId="3" applyFont="1" fillId="0" applyAlignment="1">
      <alignment horizontal="left"/>
    </xf>
    <xf xfId="0" numFmtId="164" applyNumberFormat="1" borderId="10" applyBorder="1" fontId="4" applyFont="1" fillId="2" applyFill="1" applyAlignment="1">
      <alignment horizontal="left"/>
    </xf>
    <xf xfId="0" numFmtId="164" applyNumberFormat="1" borderId="10" applyBorder="1" fontId="4" applyFont="1" fillId="3" applyFill="1" applyAlignment="1">
      <alignment horizontal="left"/>
    </xf>
    <xf xfId="0" numFmtId="164" applyNumberFormat="1" borderId="10" applyBorder="1" fontId="4" applyFont="1" fillId="4" applyFill="1" applyAlignment="1">
      <alignment horizontal="left"/>
    </xf>
    <xf xfId="0" numFmtId="164" applyNumberFormat="1" borderId="5" applyBorder="1" fontId="4" applyFont="1" fillId="0" applyAlignment="1">
      <alignment horizontal="left"/>
    </xf>
    <xf xfId="0" numFmtId="164" applyNumberFormat="1" borderId="2" applyBorder="1" fontId="4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9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64" applyNumberFormat="1" borderId="11" applyBorder="1" fontId="4" applyFont="1" fillId="4" applyFill="1" applyAlignment="1">
      <alignment horizontal="left"/>
    </xf>
    <xf xfId="0" numFmtId="3" applyNumberFormat="1" borderId="12" applyBorder="1" fontId="4" applyFont="1" fillId="0" applyAlignment="1">
      <alignment horizontal="left"/>
    </xf>
    <xf xfId="0" numFmtId="49" applyNumberFormat="1" borderId="13" applyBorder="1" fontId="4" applyFont="1" fillId="0" applyAlignment="1">
      <alignment horizontal="left"/>
    </xf>
    <xf xfId="0" numFmtId="0" borderId="13" applyBorder="1" fontId="4" applyFont="1" fillId="0" applyAlignment="1">
      <alignment horizontal="left"/>
    </xf>
    <xf xfId="0" numFmtId="3" applyNumberFormat="1" borderId="14" applyBorder="1" fontId="4" applyFont="1" fillId="0" applyAlignment="1">
      <alignment horizontal="left"/>
    </xf>
    <xf xfId="0" numFmtId="164" applyNumberFormat="1" borderId="11" applyBorder="1" fontId="4" applyFont="1" fillId="2" applyFill="1" applyAlignment="1">
      <alignment horizontal="left"/>
    </xf>
    <xf xfId="0" numFmtId="164" applyNumberFormat="1" borderId="8" applyBorder="1" fontId="4" applyFont="1" fillId="0" applyAlignment="1">
      <alignment horizontal="center"/>
    </xf>
    <xf xfId="0" numFmtId="164" applyNumberFormat="1" borderId="2" applyBorder="1" fontId="3" applyFont="1" fillId="0" applyAlignment="1">
      <alignment horizontal="center"/>
    </xf>
    <xf xfId="0" numFmtId="4" applyNumberFormat="1" borderId="15" applyBorder="1" fontId="3" applyFont="1" fillId="5" applyFill="1" applyAlignment="1">
      <alignment horizontal="center"/>
    </xf>
    <xf xfId="0" numFmtId="164" applyNumberFormat="1" borderId="3" applyBorder="1" fontId="4" applyFont="1" fillId="0" applyAlignment="1">
      <alignment horizontal="center"/>
    </xf>
    <xf xfId="0" numFmtId="164" applyNumberFormat="1" borderId="5" applyBorder="1" fontId="3" applyFont="1" fillId="0" applyAlignment="1">
      <alignment horizontal="center"/>
    </xf>
    <xf xfId="0" numFmtId="3" applyNumberFormat="1" borderId="11" applyBorder="1" fontId="3" applyFont="1" fillId="5" applyFill="1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4" applyNumberFormat="1" borderId="11" applyBorder="1" fontId="3" applyFont="1" fillId="6" applyFill="1" applyAlignment="1">
      <alignment horizontal="center"/>
    </xf>
    <xf xfId="0" numFmtId="164" applyNumberFormat="1" borderId="1" applyBorder="1" fontId="4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164" applyNumberFormat="1" borderId="3" applyBorder="1" fontId="3" applyFont="1" fillId="0" applyAlignment="1">
      <alignment horizontal="center"/>
    </xf>
    <xf xfId="0" numFmtId="164" applyNumberFormat="1" borderId="5" applyBorder="1" fontId="4" applyFont="1" fillId="0" applyAlignment="1">
      <alignment horizontal="center"/>
    </xf>
    <xf xfId="0" numFmtId="3" applyNumberFormat="1" borderId="16" applyBorder="1" fontId="4" applyFont="1" fillId="0" applyAlignment="1">
      <alignment horizontal="center"/>
    </xf>
    <xf xfId="0" numFmtId="3" applyNumberFormat="1" borderId="17" applyBorder="1" fontId="4" applyFont="1" fillId="0" applyAlignment="1">
      <alignment horizontal="center"/>
    </xf>
    <xf xfId="0" numFmtId="164" applyNumberFormat="1" borderId="1" applyBorder="1" fontId="5" applyFont="1" fillId="0" applyAlignment="1">
      <alignment horizontal="left"/>
    </xf>
    <xf xfId="0" numFmtId="4" applyNumberFormat="1" borderId="11" applyBorder="1" fontId="4" applyFont="1" fillId="7" applyFill="1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164" applyNumberFormat="1" borderId="1" applyBorder="1" fontId="3" applyFont="1" fillId="0" applyAlignment="1">
      <alignment horizontal="center"/>
    </xf>
    <xf xfId="0" numFmtId="3" applyNumberFormat="1" borderId="11" applyBorder="1" fontId="4" applyFont="1" fillId="5" applyFill="1" applyAlignment="1">
      <alignment horizontal="center"/>
    </xf>
    <xf xfId="0" numFmtId="164" applyNumberFormat="1" borderId="5" applyBorder="1" fontId="6" applyFont="1" fillId="0" applyAlignment="1">
      <alignment horizontal="left"/>
    </xf>
    <xf xfId="0" numFmtId="164" applyNumberFormat="1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3" applyNumberFormat="1" borderId="18" applyBorder="1" fontId="4" applyFont="1" fillId="0" applyAlignment="1">
      <alignment horizontal="center"/>
    </xf>
    <xf xfId="0" numFmtId="3" applyNumberFormat="1" borderId="2" applyBorder="1" fontId="3" applyFont="1" fillId="0" applyAlignment="1">
      <alignment horizontal="left"/>
    </xf>
    <xf xfId="0" numFmtId="49" applyNumberFormat="1" borderId="16" applyBorder="1" fontId="3" applyFont="1" fillId="0" applyAlignment="1">
      <alignment horizontal="left"/>
    </xf>
    <xf xfId="0" numFmtId="164" applyNumberFormat="1" borderId="18" applyBorder="1" fontId="3" applyFont="1" fillId="0" applyAlignment="1">
      <alignment horizontal="left"/>
    </xf>
    <xf xfId="0" numFmtId="3" applyNumberFormat="1" borderId="18" applyBorder="1" fontId="4" applyFont="1" fillId="5" applyFill="1" applyAlignment="1">
      <alignment horizontal="center"/>
    </xf>
    <xf xfId="0" numFmtId="3" applyNumberFormat="1" borderId="7" applyBorder="1" fontId="3" applyFont="1" fillId="0" applyAlignment="1">
      <alignment horizontal="right"/>
    </xf>
    <xf xfId="0" numFmtId="4" applyNumberFormat="1" borderId="17" applyBorder="1" fontId="3" applyFont="1" fillId="0" applyAlignment="1">
      <alignment horizontal="right"/>
    </xf>
    <xf xfId="0" numFmtId="164" applyNumberFormat="1" borderId="5" applyBorder="1" fontId="7" applyFont="1" fillId="0" applyAlignment="1">
      <alignment horizontal="left"/>
    </xf>
    <xf xfId="0" numFmtId="164" applyNumberFormat="1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left"/>
    </xf>
    <xf xfId="0" numFmtId="49" applyNumberFormat="1" borderId="1" applyBorder="1" fontId="7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164" applyNumberFormat="1" borderId="10" applyBorder="1" fontId="3" applyFont="1" fillId="2" applyFill="1" applyAlignment="1">
      <alignment horizontal="center"/>
    </xf>
    <xf xfId="0" numFmtId="164" applyNumberFormat="1" borderId="11" applyBorder="1" fontId="3" applyFont="1" fillId="2" applyFill="1" applyAlignment="1">
      <alignment horizontal="center"/>
    </xf>
    <xf xfId="0" numFmtId="164" applyNumberFormat="1" borderId="11" applyBorder="1" fontId="3" applyFont="1" fillId="3" applyFill="1" applyAlignment="1">
      <alignment horizontal="center"/>
    </xf>
    <xf xfId="0" numFmtId="164" applyNumberFormat="1" borderId="11" applyBorder="1" fontId="3" applyFont="1" fillId="4" applyFill="1" applyAlignment="1">
      <alignment horizontal="center"/>
    </xf>
    <xf xfId="0" numFmtId="3" applyNumberFormat="1" borderId="3" applyBorder="1" fontId="3" applyFont="1" fillId="0" applyAlignment="1">
      <alignment horizontal="left"/>
    </xf>
    <xf xfId="0" numFmtId="49" applyNumberFormat="1" borderId="3" applyBorder="1" fontId="4" applyFont="1" fillId="0" applyAlignment="1">
      <alignment horizontal="center"/>
    </xf>
    <xf xfId="0" numFmtId="49" applyNumberFormat="1" borderId="19" applyBorder="1" fontId="4" applyFont="1" fillId="0" applyAlignment="1">
      <alignment horizontal="center"/>
    </xf>
    <xf xfId="0" numFmtId="49" applyNumberFormat="1" borderId="20" applyBorder="1" fontId="4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49" applyNumberFormat="1" borderId="20" applyBorder="1" fontId="4" applyFont="1" fillId="0" applyAlignment="1">
      <alignment horizontal="left"/>
    </xf>
    <xf xfId="0" numFmtId="164" applyNumberFormat="1" borderId="7" applyBorder="1" fontId="3" applyFont="1" fillId="0" applyAlignment="1">
      <alignment horizontal="left"/>
    </xf>
    <xf xfId="0" numFmtId="3" applyNumberFormat="1" borderId="8" applyBorder="1" fontId="3" applyFont="1" fillId="0" applyAlignment="1">
      <alignment horizontal="center"/>
    </xf>
    <xf xfId="0" numFmtId="49" applyNumberFormat="1" borderId="21" applyBorder="1" fontId="4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1" applyBorder="1" fontId="4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/>
  </sheetViews>
  <sheetFormatPr defaultRowHeight="15" x14ac:dyDescent="0.25"/>
  <cols>
    <col min="1" max="1" style="94" width="13.576428571428572" customWidth="1" bestFit="1"/>
    <col min="2" max="2" style="95" width="13.576428571428572" customWidth="1" bestFit="1"/>
    <col min="3" max="3" style="94" width="13.576428571428572" customWidth="1" bestFit="1"/>
    <col min="4" max="4" style="94" width="13.576428571428572" customWidth="1" bestFit="1"/>
    <col min="5" max="5" style="94" width="13.576428571428572" customWidth="1" bestFit="1"/>
  </cols>
  <sheetData>
    <row x14ac:dyDescent="0.25" r="1" customHeight="1" ht="18.75">
      <c r="A1" s="91"/>
      <c r="B1" s="92"/>
      <c r="C1" s="91"/>
      <c r="D1" s="91" t="s">
        <v>86</v>
      </c>
      <c r="E1" s="91"/>
    </row>
    <row x14ac:dyDescent="0.25" r="2" customHeight="1" ht="18.75">
      <c r="A2" s="91"/>
      <c r="B2" s="92"/>
      <c r="C2" s="91"/>
      <c r="D2" s="91"/>
      <c r="E2" s="91"/>
    </row>
    <row x14ac:dyDescent="0.25" r="3" customHeight="1" ht="18.75">
      <c r="A3" s="91"/>
      <c r="B3" s="92"/>
      <c r="C3" s="91"/>
      <c r="D3" s="91"/>
      <c r="E3" s="91"/>
    </row>
    <row x14ac:dyDescent="0.25" r="4" customHeight="1" ht="18.75">
      <c r="A4" s="91"/>
      <c r="B4" s="92"/>
      <c r="C4" s="91"/>
      <c r="D4" s="91"/>
      <c r="E4" s="91"/>
    </row>
    <row x14ac:dyDescent="0.25" r="5" customHeight="1" ht="18.75">
      <c r="A5" s="93"/>
      <c r="B5" s="46" t="s">
        <v>2</v>
      </c>
      <c r="C5" s="93"/>
      <c r="D5" s="93"/>
      <c r="E5" s="93"/>
    </row>
    <row x14ac:dyDescent="0.25" r="6" customHeight="1" ht="18.75">
      <c r="A6" s="93" t="s">
        <v>87</v>
      </c>
      <c r="B6" s="46">
        <f>'June 17, 2025'!D60</f>
      </c>
      <c r="C6" s="93"/>
      <c r="D6" s="93"/>
      <c r="E6" s="93"/>
    </row>
    <row x14ac:dyDescent="0.25" r="7" customHeight="1" ht="18.75">
      <c r="A7" s="93" t="s">
        <v>88</v>
      </c>
      <c r="B7" s="56">
        <f>'June 17, 2025'!D62</f>
      </c>
      <c r="C7" s="93"/>
      <c r="D7" s="93"/>
      <c r="E7" s="93"/>
    </row>
    <row x14ac:dyDescent="0.25" r="8" customHeight="1" ht="10.5">
      <c r="A8" s="93" t="s">
        <v>89</v>
      </c>
      <c r="B8" s="46">
        <f>'June 17, 2025'!D66</f>
      </c>
      <c r="C8" s="93"/>
      <c r="D8" s="93"/>
      <c r="E8" s="93"/>
    </row>
    <row x14ac:dyDescent="0.25" r="9" customHeight="1" ht="18.75">
      <c r="A9" s="93" t="s">
        <v>90</v>
      </c>
      <c r="B9" s="46">
        <f>'June 17, 2025'!D68</f>
      </c>
      <c r="C9" s="93"/>
      <c r="D9" s="93"/>
      <c r="E9" s="93"/>
    </row>
    <row x14ac:dyDescent="0.25" r="10" customHeight="1" ht="18.75">
      <c r="A10" s="93" t="s">
        <v>26</v>
      </c>
      <c r="B10" s="46">
        <f>'June 17, 2025'!B33</f>
      </c>
      <c r="C10" s="93"/>
      <c r="D10" s="93"/>
      <c r="E10" s="93"/>
    </row>
    <row x14ac:dyDescent="0.25" r="11" customHeight="1" ht="18.75">
      <c r="A11" s="93" t="s">
        <v>91</v>
      </c>
      <c r="B11" s="46">
        <f>'June 17, 2025'!B39</f>
      </c>
      <c r="C11" s="93"/>
      <c r="D11" s="93"/>
      <c r="E11" s="93"/>
    </row>
    <row x14ac:dyDescent="0.25" r="12" customHeight="1" ht="18.75">
      <c r="A12" s="93" t="s">
        <v>92</v>
      </c>
      <c r="B12" s="46">
        <f>'June 17, 2025'!B40</f>
      </c>
      <c r="C12" s="93"/>
      <c r="D12" s="93"/>
      <c r="E12" s="9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7"/>
  <sheetViews>
    <sheetView workbookViewId="0" tabSelected="1"/>
  </sheetViews>
  <sheetFormatPr defaultRowHeight="15" x14ac:dyDescent="0.25"/>
  <cols>
    <col min="1" max="1" style="87" width="11.862142857142858" customWidth="1" bestFit="1"/>
    <col min="2" max="2" style="87" width="13.576428571428572" customWidth="1" bestFit="1"/>
    <col min="3" max="3" style="87" width="13.576428571428572" customWidth="1" bestFit="1"/>
    <col min="4" max="4" style="88" width="13.576428571428572" customWidth="1" bestFit="1"/>
    <col min="5" max="5" style="89" width="13.576428571428572" customWidth="1" bestFit="1"/>
    <col min="6" max="6" style="90" width="13.576428571428572" customWidth="1" bestFit="1"/>
    <col min="7" max="7" style="90" width="13.576428571428572" customWidth="1" bestFit="1"/>
    <col min="8" max="8" style="88" width="13.576428571428572" customWidth="1" bestFit="1"/>
    <col min="9" max="9" style="88" width="13.576428571428572" customWidth="1" bestFit="1"/>
    <col min="10" max="10" style="90" width="13.576428571428572" customWidth="1" bestFit="1"/>
    <col min="11" max="11" style="90" width="8.862142857142858" customWidth="1" bestFit="1"/>
  </cols>
  <sheetData>
    <row x14ac:dyDescent="0.25" r="1" customHeight="1" ht="18.75">
      <c r="A1" s="1"/>
      <c r="B1" s="1"/>
      <c r="C1" s="1"/>
      <c r="D1" s="2"/>
      <c r="E1" s="3"/>
      <c r="F1" s="4"/>
      <c r="G1" s="5"/>
      <c r="H1" s="6"/>
      <c r="I1" s="6"/>
      <c r="J1" s="4"/>
      <c r="K1" s="4"/>
    </row>
    <row x14ac:dyDescent="0.25" r="2" customHeight="1" ht="18.75">
      <c r="A2" s="1"/>
      <c r="B2" s="1"/>
      <c r="C2" s="1"/>
      <c r="D2" s="2"/>
      <c r="E2" s="3"/>
      <c r="F2" s="4"/>
      <c r="G2" s="5"/>
      <c r="H2" s="6"/>
      <c r="I2" s="6"/>
      <c r="J2" s="4"/>
      <c r="K2" s="4"/>
    </row>
    <row x14ac:dyDescent="0.25" r="3" customHeight="1" ht="18.75">
      <c r="A3" s="1"/>
      <c r="B3" s="1"/>
      <c r="C3" s="1"/>
      <c r="D3" s="2"/>
      <c r="E3" s="3"/>
      <c r="F3" s="4"/>
      <c r="G3" s="5"/>
      <c r="H3" s="6"/>
      <c r="I3" s="6"/>
      <c r="J3" s="4"/>
      <c r="K3" s="4"/>
    </row>
    <row x14ac:dyDescent="0.25" r="4" customHeight="1" ht="18.75">
      <c r="A4" s="1"/>
      <c r="B4" s="1"/>
      <c r="C4" s="1"/>
      <c r="D4" s="2"/>
      <c r="E4" s="3"/>
      <c r="F4" s="4"/>
      <c r="G4" s="5"/>
      <c r="H4" s="6"/>
      <c r="I4" s="6"/>
      <c r="J4" s="4"/>
      <c r="K4" s="4"/>
    </row>
    <row x14ac:dyDescent="0.25" r="5" customHeight="1" ht="18.75">
      <c r="A5" s="1"/>
      <c r="B5" s="1"/>
      <c r="C5" s="1"/>
      <c r="D5" s="2"/>
      <c r="E5" s="3"/>
      <c r="F5" s="4"/>
      <c r="G5" s="5"/>
      <c r="H5" s="6"/>
      <c r="I5" s="6"/>
      <c r="J5" s="4"/>
      <c r="K5" s="4"/>
    </row>
    <row x14ac:dyDescent="0.25" r="6" customHeight="1" ht="19.5">
      <c r="A6" s="1"/>
      <c r="B6" s="1"/>
      <c r="C6" s="1"/>
      <c r="D6" s="7" t="s">
        <v>0</v>
      </c>
      <c r="E6" s="8"/>
      <c r="F6" s="4"/>
      <c r="G6" s="5"/>
      <c r="H6" s="6"/>
      <c r="I6" s="6"/>
      <c r="J6" s="4"/>
      <c r="K6" s="4"/>
    </row>
    <row x14ac:dyDescent="0.25" r="7" customHeight="1" ht="18.75">
      <c r="A7" s="1"/>
      <c r="B7" s="1"/>
      <c r="C7" s="1"/>
      <c r="D7" s="2"/>
      <c r="E7" s="3"/>
      <c r="F7" s="4"/>
      <c r="G7" s="4"/>
      <c r="H7" s="2"/>
      <c r="I7" s="2"/>
      <c r="J7" s="4"/>
      <c r="K7" s="4"/>
    </row>
    <row x14ac:dyDescent="0.25" r="8" customHeight="1" ht="19.5">
      <c r="A8" s="9" t="s">
        <v>1</v>
      </c>
      <c r="B8" s="10" t="s">
        <v>2</v>
      </c>
      <c r="C8" s="10"/>
      <c r="D8" s="11"/>
      <c r="E8" s="12"/>
      <c r="F8" s="13"/>
      <c r="G8" s="13"/>
      <c r="H8" s="11"/>
      <c r="I8" s="11"/>
      <c r="J8" s="13"/>
      <c r="K8" s="14"/>
    </row>
    <row x14ac:dyDescent="0.25" r="9" customHeight="1" ht="18.75">
      <c r="A9" s="15" t="s">
        <v>3</v>
      </c>
      <c r="B9" s="16" t="s">
        <v>4</v>
      </c>
      <c r="C9" s="1"/>
      <c r="D9" s="2"/>
      <c r="E9" s="3"/>
      <c r="F9" s="4"/>
      <c r="G9" s="4"/>
      <c r="H9" s="2"/>
      <c r="I9" s="2"/>
      <c r="J9" s="4"/>
      <c r="K9" s="17"/>
    </row>
    <row x14ac:dyDescent="0.25" r="10" customHeight="1" ht="18.75">
      <c r="A10" s="15" t="s">
        <v>5</v>
      </c>
      <c r="B10" s="18"/>
      <c r="C10" s="1"/>
      <c r="D10" s="2"/>
      <c r="E10" s="3"/>
      <c r="F10" s="4"/>
      <c r="G10" s="4"/>
      <c r="H10" s="2"/>
      <c r="I10" s="2"/>
      <c r="J10" s="4"/>
      <c r="K10" s="17"/>
    </row>
    <row x14ac:dyDescent="0.25" r="11" customHeight="1" ht="18.75">
      <c r="A11" s="15" t="s">
        <v>6</v>
      </c>
      <c r="B11" s="1"/>
      <c r="C11" s="1"/>
      <c r="D11" s="2"/>
      <c r="E11" s="3"/>
      <c r="F11" s="4"/>
      <c r="G11" s="4"/>
      <c r="H11" s="2"/>
      <c r="I11" s="2"/>
      <c r="J11" s="4"/>
      <c r="K11" s="17"/>
    </row>
    <row x14ac:dyDescent="0.25" r="12" customHeight="1" ht="18.75">
      <c r="A12" s="15" t="s">
        <v>7</v>
      </c>
      <c r="B12" s="1"/>
      <c r="C12" s="1"/>
      <c r="D12" s="2"/>
      <c r="E12" s="3"/>
      <c r="F12" s="4"/>
      <c r="G12" s="4"/>
      <c r="H12" s="2"/>
      <c r="I12" s="2"/>
      <c r="J12" s="4"/>
      <c r="K12" s="17"/>
    </row>
    <row x14ac:dyDescent="0.25" r="13" customHeight="1" ht="18.75">
      <c r="A13" s="19"/>
      <c r="B13" s="20"/>
      <c r="C13" s="20"/>
      <c r="D13" s="21"/>
      <c r="E13" s="22"/>
      <c r="F13" s="23"/>
      <c r="G13" s="23"/>
      <c r="H13" s="21"/>
      <c r="I13" s="21"/>
      <c r="J13" s="23"/>
      <c r="K13" s="24"/>
    </row>
    <row x14ac:dyDescent="0.25" r="14" customHeight="1" ht="19.5">
      <c r="A14" s="9" t="s">
        <v>8</v>
      </c>
      <c r="B14" s="10"/>
      <c r="C14" s="10"/>
      <c r="D14" s="11"/>
      <c r="E14" s="12"/>
      <c r="F14" s="13"/>
      <c r="G14" s="13"/>
      <c r="H14" s="11"/>
      <c r="I14" s="11"/>
      <c r="J14" s="13"/>
      <c r="K14" s="14"/>
    </row>
    <row x14ac:dyDescent="0.25" r="15" customHeight="1" ht="18.75">
      <c r="A15" s="15" t="s">
        <v>9</v>
      </c>
      <c r="B15" s="25"/>
      <c r="C15" s="25"/>
      <c r="D15" s="2"/>
      <c r="E15" s="3"/>
      <c r="F15" s="4"/>
      <c r="G15" s="4"/>
      <c r="H15" s="2"/>
      <c r="I15" s="2"/>
      <c r="J15" s="4"/>
      <c r="K15" s="17"/>
    </row>
    <row x14ac:dyDescent="0.25" r="16" customHeight="1" ht="18.75">
      <c r="A16" s="26"/>
      <c r="B16" s="1" t="s">
        <v>10</v>
      </c>
      <c r="C16" s="1"/>
      <c r="D16" s="2"/>
      <c r="E16" s="3"/>
      <c r="F16" s="4"/>
      <c r="G16" s="4"/>
      <c r="H16" s="2"/>
      <c r="I16" s="2"/>
      <c r="J16" s="4"/>
      <c r="K16" s="17"/>
    </row>
    <row x14ac:dyDescent="0.25" r="17" customHeight="1" ht="18.75">
      <c r="A17" s="27"/>
      <c r="B17" s="1" t="s">
        <v>11</v>
      </c>
      <c r="C17" s="1"/>
      <c r="D17" s="2"/>
      <c r="E17" s="3"/>
      <c r="F17" s="4"/>
      <c r="G17" s="4"/>
      <c r="H17" s="2"/>
      <c r="I17" s="2"/>
      <c r="J17" s="4"/>
      <c r="K17" s="17"/>
    </row>
    <row x14ac:dyDescent="0.25" r="18" customHeight="1" ht="18.75">
      <c r="A18" s="28"/>
      <c r="B18" s="1" t="s">
        <v>12</v>
      </c>
      <c r="C18" s="1"/>
      <c r="D18" s="2"/>
      <c r="E18" s="3"/>
      <c r="F18" s="4"/>
      <c r="G18" s="4"/>
      <c r="H18" s="2"/>
      <c r="I18" s="2"/>
      <c r="J18" s="4"/>
      <c r="K18" s="17"/>
    </row>
    <row x14ac:dyDescent="0.25" r="19" customHeight="1" ht="18.75">
      <c r="A19" s="29"/>
      <c r="B19" s="1"/>
      <c r="C19" s="1"/>
      <c r="D19" s="2"/>
      <c r="E19" s="3"/>
      <c r="F19" s="4"/>
      <c r="G19" s="4"/>
      <c r="H19" s="2"/>
      <c r="I19" s="2"/>
      <c r="J19" s="4"/>
      <c r="K19" s="17"/>
    </row>
    <row x14ac:dyDescent="0.25" r="20" customHeight="1" ht="18.75">
      <c r="A20" s="19"/>
      <c r="B20" s="20"/>
      <c r="C20" s="20"/>
      <c r="D20" s="21"/>
      <c r="E20" s="22"/>
      <c r="F20" s="23"/>
      <c r="G20" s="23"/>
      <c r="H20" s="21"/>
      <c r="I20" s="21"/>
      <c r="J20" s="23"/>
      <c r="K20" s="24"/>
    </row>
    <row x14ac:dyDescent="0.25" r="21" customHeight="1" ht="19.5">
      <c r="A21" s="30" t="s">
        <v>13</v>
      </c>
      <c r="B21" s="10"/>
      <c r="C21" s="10"/>
      <c r="D21" s="11"/>
      <c r="E21" s="12"/>
      <c r="F21" s="13"/>
      <c r="G21" s="13"/>
      <c r="H21" s="11"/>
      <c r="I21" s="11"/>
      <c r="J21" s="13"/>
      <c r="K21" s="14"/>
    </row>
    <row x14ac:dyDescent="0.25" r="22" customHeight="1" ht="18.75">
      <c r="A22" s="15" t="s">
        <v>14</v>
      </c>
      <c r="B22" s="25"/>
      <c r="C22" s="25"/>
      <c r="D22" s="31" t="s">
        <v>15</v>
      </c>
      <c r="E22" s="32"/>
      <c r="F22" s="4"/>
      <c r="G22" s="4"/>
      <c r="H22" s="2"/>
      <c r="I22" s="31"/>
      <c r="J22" s="33"/>
      <c r="K22" s="17"/>
    </row>
    <row x14ac:dyDescent="0.25" r="23" customHeight="1" ht="18.75">
      <c r="A23" s="29" t="s">
        <v>16</v>
      </c>
      <c r="B23" s="1"/>
      <c r="C23" s="34" t="s">
        <v>17</v>
      </c>
      <c r="D23" s="35"/>
      <c r="E23" s="36"/>
      <c r="F23" s="37"/>
      <c r="G23" s="37"/>
      <c r="H23" s="38"/>
      <c r="I23" s="2"/>
      <c r="J23" s="4"/>
      <c r="K23" s="17"/>
    </row>
    <row x14ac:dyDescent="0.25" r="24" customHeight="1" ht="18.75">
      <c r="A24" s="29" t="s">
        <v>18</v>
      </c>
      <c r="B24" s="1"/>
      <c r="C24" s="1" t="s">
        <v>17</v>
      </c>
      <c r="D24" s="35"/>
      <c r="E24" s="36"/>
      <c r="F24" s="37"/>
      <c r="G24" s="37"/>
      <c r="H24" s="38"/>
      <c r="I24" s="2"/>
      <c r="J24" s="4"/>
      <c r="K24" s="17"/>
    </row>
    <row x14ac:dyDescent="0.25" r="25" customHeight="1" ht="18.75">
      <c r="A25" s="29" t="s">
        <v>19</v>
      </c>
      <c r="B25" s="1"/>
      <c r="C25" s="39" t="s">
        <v>17</v>
      </c>
      <c r="D25" s="35"/>
      <c r="E25" s="36"/>
      <c r="F25" s="37"/>
      <c r="G25" s="37"/>
      <c r="H25" s="38"/>
      <c r="I25" s="2"/>
      <c r="J25" s="4"/>
      <c r="K25" s="17"/>
    </row>
    <row x14ac:dyDescent="0.25" r="26" customHeight="1" ht="18.75">
      <c r="A26" s="29" t="s">
        <v>20</v>
      </c>
      <c r="B26" s="1"/>
      <c r="C26" s="1" t="s">
        <v>21</v>
      </c>
      <c r="D26" s="35"/>
      <c r="E26" s="36"/>
      <c r="F26" s="37"/>
      <c r="G26" s="37"/>
      <c r="H26" s="38"/>
      <c r="I26" s="2"/>
      <c r="J26" s="4"/>
      <c r="K26" s="17"/>
    </row>
    <row x14ac:dyDescent="0.25" r="27" customHeight="1" ht="19.5">
      <c r="A27" s="29" t="s">
        <v>22</v>
      </c>
      <c r="B27" s="1"/>
      <c r="C27" s="1" t="s">
        <v>17</v>
      </c>
      <c r="D27" s="35"/>
      <c r="E27" s="36"/>
      <c r="F27" s="37"/>
      <c r="G27" s="37"/>
      <c r="H27" s="38"/>
      <c r="I27" s="2"/>
      <c r="J27" s="4"/>
      <c r="K27" s="17"/>
    </row>
    <row x14ac:dyDescent="0.25" r="28" customHeight="1" ht="18.75">
      <c r="A28" s="1"/>
      <c r="B28" s="1"/>
      <c r="C28" s="1"/>
      <c r="D28" s="2"/>
      <c r="E28" s="3"/>
      <c r="F28" s="4"/>
      <c r="G28" s="4"/>
      <c r="H28" s="2"/>
      <c r="I28" s="2"/>
      <c r="J28" s="4"/>
      <c r="K28" s="17"/>
    </row>
    <row x14ac:dyDescent="0.25" r="29" customHeight="1" ht="18.75">
      <c r="A29" s="29"/>
      <c r="B29" s="1"/>
      <c r="C29" s="1"/>
      <c r="D29" s="2"/>
      <c r="E29" s="3"/>
      <c r="F29" s="4"/>
      <c r="G29" s="4"/>
      <c r="H29" s="2"/>
      <c r="I29" s="2"/>
      <c r="J29" s="4"/>
      <c r="K29" s="17"/>
    </row>
    <row x14ac:dyDescent="0.25" r="30" customHeight="1" ht="18.75">
      <c r="A30" s="29"/>
      <c r="B30" s="1"/>
      <c r="C30" s="1"/>
      <c r="D30" s="2"/>
      <c r="E30" s="3"/>
      <c r="F30" s="4"/>
      <c r="G30" s="4"/>
      <c r="H30" s="2"/>
      <c r="I30" s="2"/>
      <c r="J30" s="4"/>
      <c r="K30" s="17"/>
    </row>
    <row x14ac:dyDescent="0.25" r="31" customHeight="1" ht="18.75">
      <c r="A31" s="19"/>
      <c r="B31" s="20" t="s">
        <v>23</v>
      </c>
      <c r="C31" s="40" t="s">
        <v>24</v>
      </c>
      <c r="D31" s="21"/>
      <c r="E31" s="22"/>
      <c r="F31" s="23"/>
      <c r="G31" s="23"/>
      <c r="H31" s="21"/>
      <c r="I31" s="21"/>
      <c r="J31" s="23"/>
      <c r="K31" s="24"/>
    </row>
    <row x14ac:dyDescent="0.25" r="32" customHeight="1" ht="19.5">
      <c r="A32" s="41" t="s">
        <v>25</v>
      </c>
      <c r="B32" s="42">
        <v>1.79</v>
      </c>
      <c r="C32" s="43"/>
      <c r="D32" s="11"/>
      <c r="E32" s="12"/>
      <c r="F32" s="13"/>
      <c r="G32" s="13"/>
      <c r="H32" s="11"/>
      <c r="I32" s="11"/>
      <c r="J32" s="13"/>
      <c r="K32" s="14"/>
    </row>
    <row x14ac:dyDescent="0.25" r="33" customHeight="1" ht="18.75">
      <c r="A33" s="44" t="s">
        <v>26</v>
      </c>
      <c r="B33" s="45">
        <v>79</v>
      </c>
      <c r="C33" s="46">
        <f>(B32-1)*100</f>
      </c>
      <c r="D33" s="2" t="s">
        <v>27</v>
      </c>
      <c r="E33" s="3"/>
      <c r="F33" s="4"/>
      <c r="G33" s="4"/>
      <c r="H33" s="2"/>
      <c r="I33" s="2"/>
      <c r="J33" s="4"/>
      <c r="K33" s="17"/>
    </row>
    <row x14ac:dyDescent="0.25" r="34" customHeight="1" ht="18.75">
      <c r="A34" s="44" t="s">
        <v>28</v>
      </c>
      <c r="B34" s="47">
        <f>B33/(B32*B32)</f>
      </c>
      <c r="C34" s="48" t="s">
        <v>29</v>
      </c>
      <c r="D34" s="2" t="s">
        <v>30</v>
      </c>
      <c r="E34" s="3"/>
      <c r="F34" s="4"/>
      <c r="G34" s="4"/>
      <c r="H34" s="2"/>
      <c r="I34" s="2"/>
      <c r="J34" s="4"/>
      <c r="K34" s="17"/>
    </row>
    <row x14ac:dyDescent="0.25" r="35" customHeight="1" ht="18.75">
      <c r="A35" s="44" t="s">
        <v>31</v>
      </c>
      <c r="B35" s="49">
        <v>20</v>
      </c>
      <c r="C35" s="48" t="s">
        <v>32</v>
      </c>
      <c r="D35" s="2" t="s">
        <v>33</v>
      </c>
      <c r="E35" s="3"/>
      <c r="F35" s="4"/>
      <c r="G35" s="4"/>
      <c r="H35" s="2"/>
      <c r="I35" s="2"/>
      <c r="J35" s="4"/>
      <c r="K35" s="17"/>
    </row>
    <row x14ac:dyDescent="0.25" r="36" customHeight="1" ht="18.75">
      <c r="A36" s="44" t="s">
        <v>34</v>
      </c>
      <c r="B36" s="49">
        <v>32</v>
      </c>
      <c r="C36" s="48" t="s">
        <v>35</v>
      </c>
      <c r="D36" s="2" t="s">
        <v>33</v>
      </c>
      <c r="E36" s="3"/>
      <c r="F36" s="4"/>
      <c r="G36" s="4"/>
      <c r="H36" s="2"/>
      <c r="I36" s="2"/>
      <c r="J36" s="4"/>
      <c r="K36" s="17"/>
    </row>
    <row x14ac:dyDescent="0.25" r="37" customHeight="1" ht="18.75">
      <c r="A37" s="19"/>
      <c r="B37" s="40"/>
      <c r="C37" s="20"/>
      <c r="D37" s="21"/>
      <c r="E37" s="22"/>
      <c r="F37" s="23"/>
      <c r="G37" s="23"/>
      <c r="H37" s="21"/>
      <c r="I37" s="21"/>
      <c r="J37" s="23"/>
      <c r="K37" s="24"/>
    </row>
    <row x14ac:dyDescent="0.25" r="38" customHeight="1" ht="18.75">
      <c r="A38" s="41" t="s">
        <v>36</v>
      </c>
      <c r="B38" s="50" t="s">
        <v>23</v>
      </c>
      <c r="C38" s="43" t="s">
        <v>24</v>
      </c>
      <c r="D38" s="11"/>
      <c r="E38" s="12"/>
      <c r="F38" s="13"/>
      <c r="G38" s="13"/>
      <c r="H38" s="11"/>
      <c r="I38" s="11"/>
      <c r="J38" s="13"/>
      <c r="K38" s="14"/>
    </row>
    <row x14ac:dyDescent="0.25" r="39" customHeight="1" ht="18.75">
      <c r="A39" s="51" t="s">
        <v>37</v>
      </c>
      <c r="B39" s="49">
        <v>120</v>
      </c>
      <c r="C39" s="52">
        <v>120</v>
      </c>
      <c r="D39" s="2" t="s">
        <v>38</v>
      </c>
      <c r="E39" s="3"/>
      <c r="F39" s="33"/>
      <c r="G39" s="4"/>
      <c r="H39" s="2"/>
      <c r="I39" s="2"/>
      <c r="J39" s="4"/>
      <c r="K39" s="17"/>
    </row>
    <row x14ac:dyDescent="0.25" r="40" customHeight="1" ht="18.75">
      <c r="A40" s="51" t="s">
        <v>39</v>
      </c>
      <c r="B40" s="49">
        <v>80</v>
      </c>
      <c r="C40" s="53">
        <v>80</v>
      </c>
      <c r="D40" s="2" t="s">
        <v>40</v>
      </c>
      <c r="E40" s="3"/>
      <c r="F40" s="33"/>
      <c r="G40" s="4"/>
      <c r="H40" s="2"/>
      <c r="I40" s="2"/>
      <c r="J40" s="4"/>
      <c r="K40" s="17"/>
    </row>
    <row x14ac:dyDescent="0.25" r="41" customHeight="1" ht="18.75">
      <c r="A41" s="29"/>
      <c r="B41" s="1"/>
      <c r="C41" s="1"/>
      <c r="D41" s="2"/>
      <c r="E41" s="3"/>
      <c r="F41" s="4"/>
      <c r="G41" s="4"/>
      <c r="H41" s="2"/>
      <c r="I41" s="2"/>
      <c r="J41" s="4"/>
      <c r="K41" s="17"/>
    </row>
    <row x14ac:dyDescent="0.25" r="42" customHeight="1" ht="18.75">
      <c r="A42" s="19"/>
      <c r="B42" s="20"/>
      <c r="C42" s="20"/>
      <c r="D42" s="21"/>
      <c r="E42" s="22"/>
      <c r="F42" s="23"/>
      <c r="G42" s="23"/>
      <c r="H42" s="21"/>
      <c r="I42" s="21"/>
      <c r="J42" s="23"/>
      <c r="K42" s="24"/>
    </row>
    <row x14ac:dyDescent="0.25" r="43" customHeight="1" ht="18.75">
      <c r="A43" s="15" t="s">
        <v>41</v>
      </c>
      <c r="B43" s="25"/>
      <c r="C43" s="25"/>
      <c r="D43" s="31"/>
      <c r="E43" s="32"/>
      <c r="F43" s="33"/>
      <c r="G43" s="4"/>
      <c r="H43" s="31"/>
      <c r="I43" s="31"/>
      <c r="J43" s="4"/>
      <c r="K43" s="17"/>
    </row>
    <row x14ac:dyDescent="0.25" r="44" customHeight="1" ht="18.75">
      <c r="A44" s="15"/>
      <c r="B44" s="25"/>
      <c r="C44" s="25" t="s">
        <v>23</v>
      </c>
      <c r="D44" s="31" t="s">
        <v>24</v>
      </c>
      <c r="E44" s="32"/>
      <c r="F44" s="33"/>
      <c r="G44" s="33"/>
      <c r="H44" s="2"/>
      <c r="I44" s="2"/>
      <c r="J44" s="4"/>
      <c r="K44" s="17"/>
    </row>
    <row x14ac:dyDescent="0.25" r="45" customHeight="1" ht="18.75">
      <c r="A45" s="15" t="s">
        <v>42</v>
      </c>
      <c r="B45" s="54"/>
      <c r="C45" s="55">
        <f>0.7+((D62-10)*0.015)</f>
      </c>
      <c r="D45" s="56">
        <v>0.7</v>
      </c>
      <c r="E45" s="3"/>
      <c r="F45" s="4"/>
      <c r="G45" s="4"/>
      <c r="H45" s="2"/>
      <c r="I45" s="2"/>
      <c r="J45" s="4"/>
      <c r="K45" s="17"/>
    </row>
    <row x14ac:dyDescent="0.25" r="46" customHeight="1" ht="18.75">
      <c r="A46" s="29"/>
      <c r="B46" s="1"/>
      <c r="C46" s="1"/>
      <c r="D46" s="2"/>
      <c r="E46" s="3"/>
      <c r="F46" s="4"/>
      <c r="G46" s="4"/>
      <c r="H46" s="2"/>
      <c r="I46" s="2"/>
      <c r="J46" s="4"/>
      <c r="K46" s="17"/>
    </row>
    <row x14ac:dyDescent="0.25" r="47" customHeight="1" ht="18.75">
      <c r="A47" s="29"/>
      <c r="B47" s="25"/>
      <c r="C47" s="57" t="s">
        <v>43</v>
      </c>
      <c r="D47" s="31" t="s">
        <v>44</v>
      </c>
      <c r="E47" s="32"/>
      <c r="F47" s="4" t="s">
        <v>45</v>
      </c>
      <c r="G47" s="4"/>
      <c r="H47" s="2"/>
      <c r="I47" s="2"/>
      <c r="J47" s="4"/>
      <c r="K47" s="17"/>
    </row>
    <row x14ac:dyDescent="0.25" r="48" customHeight="1" ht="18.75">
      <c r="A48" s="15" t="s">
        <v>46</v>
      </c>
      <c r="B48" s="1"/>
      <c r="C48" s="58">
        <v>7</v>
      </c>
      <c r="D48" s="46">
        <v>240</v>
      </c>
      <c r="E48" s="3" t="s">
        <v>47</v>
      </c>
      <c r="F48" s="4"/>
      <c r="G48" s="4"/>
      <c r="H48" s="49" t="s">
        <v>48</v>
      </c>
      <c r="I48" s="31" t="s">
        <v>49</v>
      </c>
      <c r="J48" s="4"/>
      <c r="K48" s="17"/>
    </row>
    <row x14ac:dyDescent="0.25" r="49" customHeight="1" ht="18.75">
      <c r="A49" s="59"/>
      <c r="B49" s="1"/>
      <c r="C49" s="1"/>
      <c r="D49" s="2"/>
      <c r="E49" s="3"/>
      <c r="F49" s="4"/>
      <c r="G49" s="4"/>
      <c r="H49" s="46">
        <v>2</v>
      </c>
      <c r="I49" s="46">
        <v>1</v>
      </c>
      <c r="J49" s="4" t="s">
        <v>50</v>
      </c>
      <c r="K49" s="4"/>
    </row>
    <row x14ac:dyDescent="0.25" r="50" customHeight="1" ht="18.75">
      <c r="A50" s="15" t="s">
        <v>51</v>
      </c>
      <c r="B50" s="60"/>
      <c r="C50" s="60"/>
      <c r="D50" s="61"/>
      <c r="E50" s="3"/>
      <c r="F50" s="4"/>
      <c r="G50" s="4"/>
      <c r="H50" s="46">
        <v>3</v>
      </c>
      <c r="I50" s="46">
        <v>2</v>
      </c>
      <c r="J50" s="4" t="s">
        <v>52</v>
      </c>
      <c r="K50" s="4"/>
    </row>
    <row x14ac:dyDescent="0.25" r="51" customHeight="1" ht="18.75">
      <c r="A51" s="15" t="s">
        <v>53</v>
      </c>
      <c r="B51" s="1"/>
      <c r="C51" s="62">
        <f>D48*0.5</f>
      </c>
      <c r="D51" s="63" t="s">
        <v>54</v>
      </c>
      <c r="E51" s="64" t="s">
        <v>55</v>
      </c>
      <c r="F51" s="14"/>
      <c r="G51" s="4"/>
      <c r="H51" s="46">
        <v>4</v>
      </c>
      <c r="I51" s="46">
        <v>3</v>
      </c>
      <c r="J51" s="4" t="s">
        <v>56</v>
      </c>
      <c r="K51" s="4"/>
    </row>
    <row x14ac:dyDescent="0.25" r="52" customHeight="1" ht="18.75">
      <c r="A52" s="65" t="s">
        <v>57</v>
      </c>
      <c r="B52" s="1"/>
      <c r="C52" s="66">
        <v>180</v>
      </c>
      <c r="D52" s="67">
        <f>C51*0.08*C52</f>
      </c>
      <c r="E52" s="68">
        <f>D52/7</f>
      </c>
      <c r="F52" s="24" t="s">
        <v>58</v>
      </c>
      <c r="G52" s="4"/>
      <c r="H52" s="46">
        <v>5</v>
      </c>
      <c r="I52" s="46">
        <v>4</v>
      </c>
      <c r="J52" s="4" t="s">
        <v>59</v>
      </c>
      <c r="K52" s="4"/>
    </row>
    <row x14ac:dyDescent="0.25" r="53" customHeight="1" ht="18.75">
      <c r="A53" s="29"/>
      <c r="B53" s="1"/>
      <c r="C53" s="1"/>
      <c r="D53" s="2"/>
      <c r="E53" s="3"/>
      <c r="F53" s="4"/>
      <c r="G53" s="4"/>
      <c r="H53" s="46">
        <v>6</v>
      </c>
      <c r="I53" s="46">
        <v>5</v>
      </c>
      <c r="J53" s="4" t="s">
        <v>60</v>
      </c>
      <c r="K53" s="4"/>
    </row>
    <row x14ac:dyDescent="0.25" r="54" customHeight="1" ht="18.75">
      <c r="A54" s="15" t="s">
        <v>61</v>
      </c>
      <c r="B54" s="1"/>
      <c r="C54" s="1"/>
      <c r="D54" s="2"/>
      <c r="E54" s="3"/>
      <c r="F54" s="4"/>
      <c r="G54" s="4"/>
      <c r="H54" s="46">
        <v>7</v>
      </c>
      <c r="I54" s="46">
        <v>6</v>
      </c>
      <c r="J54" s="4" t="s">
        <v>62</v>
      </c>
      <c r="K54" s="4"/>
    </row>
    <row x14ac:dyDescent="0.25" r="55" customHeight="1" ht="18.75">
      <c r="A55" s="69" t="s">
        <v>63</v>
      </c>
      <c r="B55" s="70"/>
      <c r="C55" s="70" t="s">
        <v>64</v>
      </c>
      <c r="D55" s="71"/>
      <c r="E55" s="72" t="s">
        <v>65</v>
      </c>
      <c r="F55" s="73"/>
      <c r="G55" s="4"/>
      <c r="H55" s="46">
        <v>8</v>
      </c>
      <c r="I55" s="46">
        <v>7</v>
      </c>
      <c r="J55" s="4" t="s">
        <v>66</v>
      </c>
      <c r="K55" s="4"/>
    </row>
    <row x14ac:dyDescent="0.25" r="56" customHeight="1" ht="18.75">
      <c r="A56" s="74">
        <f>B33*24</f>
      </c>
      <c r="B56" s="75">
        <f>A56*1.01</f>
      </c>
      <c r="C56" s="76">
        <f>A56*1.02</f>
      </c>
      <c r="D56" s="76">
        <f>A56*1.03</f>
      </c>
      <c r="E56" s="77">
        <f>A56*1.04</f>
      </c>
      <c r="F56" s="33" t="s">
        <v>67</v>
      </c>
      <c r="G56" s="33"/>
      <c r="H56" s="46">
        <v>9</v>
      </c>
      <c r="I56" s="46">
        <v>8</v>
      </c>
      <c r="J56" s="4" t="s">
        <v>68</v>
      </c>
      <c r="K56" s="4"/>
    </row>
    <row x14ac:dyDescent="0.25" r="57" customHeight="1" ht="18.75">
      <c r="A57" s="74">
        <f>A56+E52</f>
      </c>
      <c r="B57" s="75">
        <f>B56+E52</f>
      </c>
      <c r="C57" s="76">
        <f>C56+E52</f>
      </c>
      <c r="D57" s="76">
        <f>D56+E52</f>
      </c>
      <c r="E57" s="77">
        <f>E56+E52</f>
      </c>
      <c r="F57" s="33" t="s">
        <v>69</v>
      </c>
      <c r="G57" s="33"/>
      <c r="H57" s="61"/>
      <c r="I57" s="2"/>
      <c r="J57" s="4"/>
      <c r="K57" s="4"/>
    </row>
    <row x14ac:dyDescent="0.25" r="58" customHeight="1" ht="18.75">
      <c r="A58" s="19"/>
      <c r="B58" s="20"/>
      <c r="C58" s="20"/>
      <c r="D58" s="21"/>
      <c r="E58" s="22"/>
      <c r="F58" s="23"/>
      <c r="G58" s="23"/>
      <c r="H58" s="21"/>
      <c r="I58" s="21"/>
      <c r="J58" s="23"/>
      <c r="K58" s="24"/>
    </row>
    <row x14ac:dyDescent="0.25" r="59" customHeight="1" ht="18.75">
      <c r="A59" s="30"/>
      <c r="B59" s="10"/>
      <c r="C59" s="10"/>
      <c r="D59" s="78" t="s">
        <v>23</v>
      </c>
      <c r="E59" s="79" t="s">
        <v>24</v>
      </c>
      <c r="F59" s="13" t="s">
        <v>70</v>
      </c>
      <c r="G59" s="13"/>
      <c r="H59" s="11"/>
      <c r="I59" s="11"/>
      <c r="J59" s="13"/>
      <c r="K59" s="14"/>
    </row>
    <row x14ac:dyDescent="0.25" r="60" customHeight="1" ht="18.75">
      <c r="A60" s="15" t="s">
        <v>71</v>
      </c>
      <c r="B60" s="1"/>
      <c r="C60" s="1"/>
      <c r="D60" s="49">
        <v>75</v>
      </c>
      <c r="E60" s="80" t="s">
        <v>72</v>
      </c>
      <c r="F60" s="4" t="s">
        <v>73</v>
      </c>
      <c r="G60" s="4"/>
      <c r="H60" s="2"/>
      <c r="I60" s="2"/>
      <c r="J60" s="4"/>
      <c r="K60" s="17"/>
    </row>
    <row x14ac:dyDescent="0.25" r="61" customHeight="1" ht="18.75">
      <c r="A61" s="29"/>
      <c r="B61" s="1"/>
      <c r="C61" s="1"/>
      <c r="D61" s="49"/>
      <c r="E61" s="81"/>
      <c r="F61" s="4"/>
      <c r="G61" s="4"/>
      <c r="H61" s="2"/>
      <c r="I61" s="2"/>
      <c r="J61" s="4"/>
      <c r="K61" s="17"/>
    </row>
    <row x14ac:dyDescent="0.25" r="62" customHeight="1" ht="18.75">
      <c r="A62" s="15" t="s">
        <v>74</v>
      </c>
      <c r="B62" s="1"/>
      <c r="C62" s="1"/>
      <c r="D62" s="82">
        <v>7.5</v>
      </c>
      <c r="E62" s="81" t="s">
        <v>75</v>
      </c>
      <c r="F62" s="4" t="s">
        <v>76</v>
      </c>
      <c r="G62" s="4"/>
      <c r="H62" s="2"/>
      <c r="I62" s="2"/>
      <c r="J62" s="4"/>
      <c r="K62" s="17"/>
    </row>
    <row x14ac:dyDescent="0.25" r="63" customHeight="1" ht="18.75">
      <c r="A63" s="29"/>
      <c r="B63" s="1"/>
      <c r="C63" s="1"/>
      <c r="D63" s="49"/>
      <c r="E63" s="81"/>
      <c r="F63" s="4"/>
      <c r="G63" s="4"/>
      <c r="H63" s="2"/>
      <c r="I63" s="2"/>
      <c r="J63" s="4"/>
      <c r="K63" s="17"/>
    </row>
    <row x14ac:dyDescent="0.25" r="64" customHeight="1" ht="18.75">
      <c r="A64" s="15" t="s">
        <v>77</v>
      </c>
      <c r="B64" s="1"/>
      <c r="C64" s="1"/>
      <c r="D64" s="49">
        <v>98</v>
      </c>
      <c r="E64" s="81" t="s">
        <v>78</v>
      </c>
      <c r="F64" s="4" t="s">
        <v>79</v>
      </c>
      <c r="G64" s="4"/>
      <c r="H64" s="2"/>
      <c r="I64" s="2"/>
      <c r="J64" s="4"/>
      <c r="K64" s="17"/>
    </row>
    <row x14ac:dyDescent="0.25" r="65" customHeight="1" ht="18.75">
      <c r="A65" s="29"/>
      <c r="B65" s="1"/>
      <c r="C65" s="1"/>
      <c r="D65" s="49"/>
      <c r="E65" s="83"/>
      <c r="F65" s="4"/>
      <c r="G65" s="4"/>
      <c r="H65" s="2"/>
      <c r="I65" s="2"/>
      <c r="J65" s="4"/>
      <c r="K65" s="17"/>
    </row>
    <row x14ac:dyDescent="0.25" r="66" customHeight="1" ht="18.75">
      <c r="A66" s="15" t="s">
        <v>80</v>
      </c>
      <c r="B66" s="1"/>
      <c r="C66" s="1"/>
      <c r="D66" s="49">
        <v>41</v>
      </c>
      <c r="E66" s="83" t="s">
        <v>81</v>
      </c>
      <c r="F66" s="4" t="s">
        <v>82</v>
      </c>
      <c r="G66" s="4"/>
      <c r="H66" s="2"/>
      <c r="I66" s="2"/>
      <c r="J66" s="4"/>
      <c r="K66" s="17"/>
    </row>
    <row x14ac:dyDescent="0.25" r="67" customHeight="1" ht="18.75">
      <c r="A67" s="29"/>
      <c r="B67" s="1"/>
      <c r="C67" s="1"/>
      <c r="D67" s="2"/>
      <c r="E67" s="83"/>
      <c r="F67" s="4"/>
      <c r="G67" s="4"/>
      <c r="H67" s="2"/>
      <c r="I67" s="2"/>
      <c r="J67" s="4"/>
      <c r="K67" s="17"/>
    </row>
    <row x14ac:dyDescent="0.25" r="68" customHeight="1" ht="18.75">
      <c r="A68" s="84" t="s">
        <v>83</v>
      </c>
      <c r="B68" s="20"/>
      <c r="C68" s="20"/>
      <c r="D68" s="85">
        <v>20</v>
      </c>
      <c r="E68" s="86" t="s">
        <v>84</v>
      </c>
      <c r="F68" s="4" t="s">
        <v>85</v>
      </c>
      <c r="G68" s="23"/>
      <c r="H68" s="21"/>
      <c r="I68" s="21"/>
      <c r="J68" s="23"/>
      <c r="K68" s="24"/>
    </row>
    <row x14ac:dyDescent="0.25" r="69" customHeight="1" ht="18.75">
      <c r="A69" s="1"/>
      <c r="B69" s="1"/>
      <c r="C69" s="1"/>
      <c r="D69" s="2"/>
      <c r="E69" s="3"/>
      <c r="F69" s="4"/>
      <c r="G69" s="4"/>
      <c r="H69" s="2"/>
      <c r="I69" s="2"/>
      <c r="J69" s="4"/>
      <c r="K69" s="4"/>
    </row>
    <row x14ac:dyDescent="0.25" r="70" customHeight="1" ht="18.75">
      <c r="A70" s="1"/>
      <c r="B70" s="1"/>
      <c r="C70" s="1"/>
      <c r="D70" s="2"/>
      <c r="E70" s="3"/>
      <c r="F70" s="4"/>
      <c r="G70" s="4"/>
      <c r="H70" s="2"/>
      <c r="I70" s="2"/>
      <c r="J70" s="4"/>
      <c r="K70" s="4"/>
    </row>
    <row x14ac:dyDescent="0.25" r="71" customHeight="1" ht="18.75">
      <c r="A71" s="1"/>
      <c r="B71" s="1"/>
      <c r="C71" s="1"/>
      <c r="D71" s="2"/>
      <c r="E71" s="3"/>
      <c r="F71" s="4"/>
      <c r="G71" s="4"/>
      <c r="H71" s="2"/>
      <c r="I71" s="2"/>
      <c r="J71" s="4"/>
      <c r="K71" s="4"/>
    </row>
    <row x14ac:dyDescent="0.25" r="72" customHeight="1" ht="18.75">
      <c r="A72" s="1"/>
      <c r="B72" s="1"/>
      <c r="C72" s="1"/>
      <c r="D72" s="2"/>
      <c r="E72" s="3"/>
      <c r="F72" s="4"/>
      <c r="G72" s="4"/>
      <c r="H72" s="2"/>
      <c r="I72" s="2"/>
      <c r="J72" s="4"/>
      <c r="K72" s="4"/>
    </row>
    <row x14ac:dyDescent="0.25" r="73" customHeight="1" ht="18.75">
      <c r="A73" s="1"/>
      <c r="B73" s="1"/>
      <c r="C73" s="1"/>
      <c r="D73" s="2"/>
      <c r="E73" s="3"/>
      <c r="F73" s="4"/>
      <c r="G73" s="4"/>
      <c r="H73" s="2"/>
      <c r="I73" s="2"/>
      <c r="J73" s="4"/>
      <c r="K73" s="4"/>
    </row>
    <row x14ac:dyDescent="0.25" r="74" customHeight="1" ht="18.75">
      <c r="A74" s="1"/>
      <c r="B74" s="1"/>
      <c r="C74" s="1"/>
      <c r="D74" s="2"/>
      <c r="E74" s="3"/>
      <c r="F74" s="4"/>
      <c r="G74" s="4"/>
      <c r="H74" s="2"/>
      <c r="I74" s="2"/>
      <c r="J74" s="4"/>
      <c r="K74" s="4"/>
    </row>
    <row x14ac:dyDescent="0.25" r="75" customHeight="1" ht="18.75">
      <c r="A75" s="1"/>
      <c r="B75" s="1"/>
      <c r="C75" s="1"/>
      <c r="D75" s="2"/>
      <c r="E75" s="3"/>
      <c r="F75" s="4"/>
      <c r="G75" s="4"/>
      <c r="H75" s="2"/>
      <c r="I75" s="2"/>
      <c r="J75" s="4"/>
      <c r="K75" s="4"/>
    </row>
    <row x14ac:dyDescent="0.25" r="76" customHeight="1" ht="18.75">
      <c r="A76" s="1"/>
      <c r="B76" s="1"/>
      <c r="C76" s="1"/>
      <c r="D76" s="2"/>
      <c r="E76" s="3"/>
      <c r="F76" s="4"/>
      <c r="G76" s="4"/>
      <c r="H76" s="2"/>
      <c r="I76" s="2"/>
      <c r="J76" s="4"/>
      <c r="K76" s="4"/>
    </row>
    <row x14ac:dyDescent="0.25" r="77" customHeight="1" ht="18.75">
      <c r="A77" s="1"/>
      <c r="B77" s="1"/>
      <c r="C77" s="1"/>
      <c r="D77" s="2"/>
      <c r="E77" s="3"/>
      <c r="F77" s="4"/>
      <c r="G77" s="4"/>
      <c r="H77" s="2"/>
      <c r="I77" s="2"/>
      <c r="J77" s="4"/>
      <c r="K7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totaal</vt:lpstr>
      <vt:lpstr>June 17, 2025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2026-01-31T08:30:54.631Z</dcterms:created>
  <dcterms:modified xsi:type="dcterms:W3CDTF">2026-01-31T08:30:54.631Z</dcterms:modified>
</cp:coreProperties>
</file>